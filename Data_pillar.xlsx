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mirazahari/Library/Containers/net.whatsapp.WhatsApp/Data/tmp/documents/BD0D5B1E-5FEA-42AF-8C58-083F5D0B64C3/"/>
    </mc:Choice>
  </mc:AlternateContent>
  <xr:revisionPtr revIDLastSave="0" documentId="8_{208BFF4D-4004-874C-ACA4-0C950BC663D8}" xr6:coauthVersionLast="47" xr6:coauthVersionMax="47" xr10:uidLastSave="{00000000-0000-0000-0000-000000000000}"/>
  <bookViews>
    <workbookView xWindow="0" yWindow="0" windowWidth="28800" windowHeight="18000" tabRatio="500" firstSheet="4" activeTab="6" xr2:uid="{00000000-000D-0000-FFFF-FFFF00000000}"/>
  </bookViews>
  <sheets>
    <sheet name="Summary" sheetId="1" r:id="rId1"/>
    <sheet name="2025 Medical Aid Costs" sheetId="2" r:id="rId2"/>
    <sheet name="SKBBK Medical Aid Costs" sheetId="3" r:id="rId3"/>
    <sheet name="Manpower Costs" sheetId="4" r:id="rId4"/>
    <sheet name="Implementation Costs" sheetId="5" r:id="rId5"/>
    <sheet name="10-Year Projection" sheetId="6" r:id="rId6"/>
    <sheet name="ESG Carbon Savin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4" l="1"/>
  <c r="G17" i="4" s="1"/>
  <c r="E13" i="4"/>
  <c r="E12" i="4"/>
  <c r="F12" i="4" s="1"/>
  <c r="E11" i="4"/>
  <c r="F11" i="4" s="1"/>
  <c r="G11" i="4" s="1"/>
  <c r="E10" i="4"/>
  <c r="E9" i="4"/>
  <c r="F9" i="4" s="1"/>
  <c r="E8" i="4"/>
  <c r="E7" i="4"/>
  <c r="F6" i="4"/>
  <c r="G6" i="4" s="1"/>
  <c r="E6" i="4"/>
  <c r="E5" i="4"/>
  <c r="G12" i="3"/>
  <c r="F12" i="3"/>
  <c r="E12" i="3"/>
  <c r="D12" i="3"/>
  <c r="H10" i="3"/>
  <c r="H9" i="3"/>
  <c r="H8" i="3"/>
  <c r="H7" i="3"/>
  <c r="H6" i="3"/>
  <c r="H5" i="3"/>
  <c r="H4" i="3"/>
  <c r="G12" i="2"/>
  <c r="F12" i="2"/>
  <c r="E12" i="2"/>
  <c r="D12" i="2"/>
  <c r="H10" i="2"/>
  <c r="H9" i="2"/>
  <c r="H8" i="2"/>
  <c r="H7" i="2"/>
  <c r="H6" i="2"/>
  <c r="H5" i="2"/>
  <c r="H4" i="2"/>
  <c r="G5" i="4" l="1"/>
  <c r="G10" i="4"/>
  <c r="E14" i="4"/>
  <c r="G19" i="4" s="1"/>
  <c r="G9" i="4"/>
  <c r="F7" i="4"/>
  <c r="G7" i="4" s="1"/>
  <c r="G12" i="4"/>
  <c r="F10" i="4"/>
  <c r="F5" i="4"/>
  <c r="F13" i="4"/>
  <c r="G13" i="4" s="1"/>
  <c r="F8" i="4"/>
  <c r="G8" i="4" s="1"/>
  <c r="F14" i="4" l="1"/>
  <c r="G20" i="4" s="1"/>
  <c r="G14" i="4"/>
  <c r="G21" i="4" l="1"/>
  <c r="G18" i="4"/>
</calcChain>
</file>

<file path=xl/sharedStrings.xml><?xml version="1.0" encoding="utf-8"?>
<sst xmlns="http://schemas.openxmlformats.org/spreadsheetml/2006/main" count="522" uniqueCount="363">
  <si>
    <t>PERKESO Medical Aid — Cost Savings &amp; Implementation Cost Model (2025)</t>
  </si>
  <si>
    <t>Circular Rehabilitation Initiative — 3Rs Refurbishment Programme | PILLAR 2025</t>
  </si>
  <si>
    <t>WORKBOOK NAVIGATION</t>
  </si>
  <si>
    <t>Summary</t>
  </si>
  <si>
    <t>This sheet — executive overview of all costs</t>
  </si>
  <si>
    <t>2025 Medical Aid Costs</t>
  </si>
  <si>
    <t>Per-item breakdown, 2025 baseline</t>
  </si>
  <si>
    <t>SKBBK Medical Aid Costs</t>
  </si>
  <si>
    <t>3× scenario per-item breakdown</t>
  </si>
  <si>
    <t>Manpower Costs</t>
  </si>
  <si>
    <t>Refurbishment team formation costs</t>
  </si>
  <si>
    <t>Implementation Costs</t>
  </si>
  <si>
    <t>Phase 1–5 setup &amp; infrastructure costs</t>
  </si>
  <si>
    <t>10-Year Projection</t>
  </si>
  <si>
    <t>Full 10-yr cost &amp; savings model</t>
  </si>
  <si>
    <t>EXECUTIVE SUMMARY — KEY NUMBERS</t>
  </si>
  <si>
    <t>2025 Base Cost (0% refurb)
RM 10,219,607
medical aids only</t>
  </si>
  <si>
    <t>SKBBK Base Cost (0% refurb)
RM 30,658,822
3× multiplier applied</t>
  </si>
  <si>
    <t>Max Saving at 40% (2025)
RM 4,087,843
vs no refurb baseline</t>
  </si>
  <si>
    <t>Max Saving at 40% (SKBBK)
RM 12,263,529
vs no refurb baseline</t>
  </si>
  <si>
    <t>Manpower Cost (full team)
RM 1,624,800
annual (18 FTEs)</t>
  </si>
  <si>
    <t>Total Setup Cost (Phases 1–4)
RM 681,000
one-off est.</t>
  </si>
  <si>
    <t>2025 Baseline — Medical Aid Costs by Category</t>
  </si>
  <si>
    <t>Item</t>
  </si>
  <si>
    <t>Total (0%)</t>
  </si>
  <si>
    <t>Save 10%</t>
  </si>
  <si>
    <t>Save 20%</t>
  </si>
  <si>
    <t>Save 30%</t>
  </si>
  <si>
    <t>Save 40%</t>
  </si>
  <si>
    <t>% of Total</t>
  </si>
  <si>
    <t>Air Cushion</t>
  </si>
  <si>
    <t>Commode</t>
  </si>
  <si>
    <t>Crutches</t>
  </si>
  <si>
    <t>Wheelchair</t>
  </si>
  <si>
    <t>Mattress &amp; Bed</t>
  </si>
  <si>
    <t>Hoist</t>
  </si>
  <si>
    <t>Other</t>
  </si>
  <si>
    <t>TOTAL</t>
  </si>
  <si>
    <t>100.0%</t>
  </si>
  <si>
    <t>Savings vs 0%</t>
  </si>
  <si>
    <t>—</t>
  </si>
  <si>
    <t>SKBBK Scheme — Medical Aid Costs (3× Multiplier)</t>
  </si>
  <si>
    <t>Refurbishment Team — Manpower Cost Model</t>
  </si>
  <si>
    <t>Based on Phase 3 (Month 8-14): Medical Aid Refurbishment Unit — new structured roles proposed in proposal</t>
  </si>
  <si>
    <t>Role</t>
  </si>
  <si>
    <t>Headcount</t>
  </si>
  <si>
    <t>Monthly Salary (RM)</t>
  </si>
  <si>
    <t>Annual Salary (RM)</t>
  </si>
  <si>
    <t>Benefits (15%)</t>
  </si>
  <si>
    <t>Total Annual Cost</t>
  </si>
  <si>
    <t>Notes</t>
  </si>
  <si>
    <t>Medical Equipment Technician</t>
  </si>
  <si>
    <t>Medical device repair &amp; maintenance. Core refurb role.</t>
  </si>
  <si>
    <t>Sterilisation Officer</t>
  </si>
  <si>
    <t>UV sterilisation, disinfection chambers, hygiene compliance.</t>
  </si>
  <si>
    <t>Safety &amp; Compliance Officer</t>
  </si>
  <si>
    <t>Safety inspections, certification tagging, SOPs.</t>
  </si>
  <si>
    <t>Inventory Control Analyst</t>
  </si>
  <si>
    <t>INSPIRE stock tracking, demand forecasting, lifecycle data.</t>
  </si>
  <si>
    <t>Logistics Coordinator</t>
  </si>
  <si>
    <t>Transportation, retrieval scheduling, distribution.</t>
  </si>
  <si>
    <t>Quality Assurance Personnel</t>
  </si>
  <si>
    <t>Functional testing, load-bearing validation, sign-off.</t>
  </si>
  <si>
    <t>Refurbishment Unit Team Lead</t>
  </si>
  <si>
    <t>Manages full unit, reports to PHU management.</t>
  </si>
  <si>
    <t>Data Entry &amp; Admin Executive</t>
  </si>
  <si>
    <t>INSPIRE updates, documentation, audit trail.</t>
  </si>
  <si>
    <t>Driver / Delivery Support</t>
  </si>
  <si>
    <t>Medical aid retrieval &amp; redistribution transport.</t>
  </si>
  <si>
    <t>TOTAL ANNUAL MANPOWER COST</t>
  </si>
  <si>
    <t>MANPOWER COST SUMMARY</t>
  </si>
  <si>
    <t>Total headcount</t>
  </si>
  <si>
    <t>Total monthly payroll</t>
  </si>
  <si>
    <t>Annual salary (excl. benefits)</t>
  </si>
  <si>
    <t>Annual benefits (15%)</t>
  </si>
  <si>
    <t>TOTAL annual cost (incl. benefits)</t>
  </si>
  <si>
    <t>Implementation Cost Model — Phase 1 to Phase 5</t>
  </si>
  <si>
    <t>One-off setup, infrastructure &amp; technology investment across all proposal phases</t>
  </si>
  <si>
    <t>Cost Item</t>
  </si>
  <si>
    <t>Phase 1 — Regulatory Framework</t>
  </si>
  <si>
    <t>Legal review &amp; regulatory drafting (Section 57 clauses)</t>
  </si>
  <si>
    <t>SOP development &amp; Board presentation materials</t>
  </si>
  <si>
    <t>Phase 1</t>
  </si>
  <si>
    <t>Regulatory/Legal</t>
  </si>
  <si>
    <t>Design, printing, workshop facilitation</t>
  </si>
  <si>
    <t>Asset reclassification system update (INSPIRE tagging)</t>
  </si>
  <si>
    <t>Phase 2 — INSPIRE System Extension</t>
  </si>
  <si>
    <t>INSPIRE system extension — backend development</t>
  </si>
  <si>
    <t>INSPIRE UI/UX design &amp; testing</t>
  </si>
  <si>
    <t>Phase 2</t>
  </si>
  <si>
    <t>IT System</t>
  </si>
  <si>
    <t>Case manager portal, predictive flagging interface</t>
  </si>
  <si>
    <t>Phase 5 — Digital Marketplace &amp; National Rollout</t>
  </si>
  <si>
    <t>Rehab Nav marketplace module development</t>
  </si>
  <si>
    <t>Phase 5</t>
  </si>
  <si>
    <t>Digital marketplace integration within Rehab Nav app</t>
  </si>
  <si>
    <t>Data migration &amp; historical case integration</t>
  </si>
  <si>
    <t>Loading historical OB case data for predictive model</t>
  </si>
  <si>
    <t>Staff training — INSPIRE extended module</t>
  </si>
  <si>
    <t>Phase 3 — Pilot &amp; Workforce Formation</t>
  </si>
  <si>
    <t>UV sterilisation chambers (×2 units)</t>
  </si>
  <si>
    <t>Phase 3</t>
  </si>
  <si>
    <t>Equipment</t>
  </si>
  <si>
    <t>Industrial-grade UV sterilisation for pilot site</t>
  </si>
  <si>
    <t>Component repair benches &amp; tools</t>
  </si>
  <si>
    <t>Workbench setup, hand tools, testing equipment</t>
  </si>
  <si>
    <t>Safety inspection station setup</t>
  </si>
  <si>
    <t>Functional testing rigs, load-bearing test equipment</t>
  </si>
  <si>
    <t>Quarantine holding area setup</t>
  </si>
  <si>
    <t>Infrastructure</t>
  </si>
  <si>
    <t>Shelving, signage, floor marking, containment</t>
  </si>
  <si>
    <t>Refurbishment staff recruitment &amp; onboarding</t>
  </si>
  <si>
    <t>HR</t>
  </si>
  <si>
    <t>Recruitment drive, background checks, onboarding for 18 FTE</t>
  </si>
  <si>
    <t>Pilot programme — 1 Rehab centre (3 months)</t>
  </si>
  <si>
    <t>Pilot</t>
  </si>
  <si>
    <t>Operating costs, monitoring, data collection for pilot eval</t>
  </si>
  <si>
    <t>Phase 4 — REMOVED: National Storage &amp; AI Integration</t>
  </si>
  <si>
    <t>National Storage Hub — fit-out &amp; zoning</t>
  </si>
  <si>
    <t>Phase 4</t>
  </si>
  <si>
    <t>Dedicated refurbishment zone, storage restructuring</t>
  </si>
  <si>
    <t>Tier 2 Regional Sub-Store setup (×5 regions)</t>
  </si>
  <si>
    <t>Buffer stock locations, shelving, tracking hardware</t>
  </si>
  <si>
    <t>Automated Storage &amp; Retrieval System (ASRS) — Kardex-style</t>
  </si>
  <si>
    <t>Technology</t>
  </si>
  <si>
    <t>Vertical lift modules, dust-controlled medical storage</t>
  </si>
  <si>
    <t>AI warehouse management software (Swisslog-style SynQ)</t>
  </si>
  <si>
    <t>Real-time tracking, predictive lifecycle alerts, audit trail</t>
  </si>
  <si>
    <t>Robotics-assisted picking system</t>
  </si>
  <si>
    <t>Semi-automated picking for high-volume items</t>
  </si>
  <si>
    <t>RFID / barcode item-level tracking rollout</t>
  </si>
  <si>
    <t>Tags, scanners, integration with INSPIRE</t>
  </si>
  <si>
    <t>Staff training — warehouse &amp; AI systems</t>
  </si>
  <si>
    <t>Training</t>
  </si>
  <si>
    <t>Logistics coordinators, inventory analysts</t>
  </si>
  <si>
    <t>National rollout coordination &amp; change management</t>
  </si>
  <si>
    <t>Operations</t>
  </si>
  <si>
    <t>Regional workshops, comms, local office onboarding</t>
  </si>
  <si>
    <t>Monitoring &amp; evaluation framework (Year 1)</t>
  </si>
  <si>
    <t>KPI dashboard setup, reporting templates</t>
  </si>
  <si>
    <t>TOTAL IMPLEMENTATION INVESTMENT</t>
  </si>
  <si>
    <t>COST BREAKDOWN BY PHASE</t>
  </si>
  <si>
    <t>Phase 1 — total</t>
  </si>
  <si>
    <t>Phase 2 — total</t>
  </si>
  <si>
    <t>Phase 3 — total</t>
  </si>
  <si>
    <t>Phase 4 — REMOVED (National Storage &amp; AI Integration)</t>
  </si>
  <si>
    <t>Phase 5 — total</t>
  </si>
  <si>
    <t>10-Year Cost &amp; Savings Projection — Revised Model (2025–2034)</t>
  </si>
  <si>
    <t>Phase 4 (National Storage &amp; AI Integration) REMOVED — model reflects Phases 1–3 + Phase 5 only</t>
  </si>
  <si>
    <t>Cost Line Item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</si>
  <si>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</si>
  <si>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</si>
  <si>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</si>
  <si>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</si>
  <si>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</si>
  <si>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</si>
  <si>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</si>
  <si>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</si>
  <si>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</si>
  <si>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</si>
  <si>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10-YR TOTAL</t>
  </si>
  <si>
    <t>ASSUMPTIONS  (blue cells = editable)</t>
  </si>
  <si>
    <t>Medical aid cost growth rate (p.a.)</t>
  </si>
  <si>
    <t>Change to 0.03 or 0.07 for low/high scenarios</t>
  </si>
  <si>
    <t>Refurbishment target</t>
  </si>
  <si>
    <t>0.10 to 0.40 — share of aids refurbished</t>
  </si>
  <si>
    <t>Manpower cost annual increment</t>
  </si>
  <si>
    <t>Salary growth p.a.</t>
  </si>
  <si>
    <t>SKBBK multiplier</t>
  </si>
  <si>
    <t>Actuarial dept projection — demand increases 3×</t>
  </si>
  <si>
    <t>SECTION A — 2025 SCHEME  (Medical Aid Costs only)</t>
  </si>
  <si>
    <t>2025 — No Refurbishment (baseline)</t>
  </si>
  <si>
    <t>2025 — 10% Refurbishment</t>
  </si>
  <si>
    <t>2025 — 20% Refurbishment</t>
  </si>
  <si>
    <t>2025 — 30% Refurbishment</t>
  </si>
  <si>
    <t>2025 — 40% Refurbishment</t>
  </si>
  <si>
    <t>SECTION B — SKBBK SCHEME  (3× Multiplier, Medical Aid Costs)</t>
  </si>
  <si>
    <t>SKBBK — No Refurbishment (baseline)</t>
  </si>
  <si>
    <t>SKBBK — 10% Refurbishment</t>
  </si>
  <si>
    <t>SKBBK — 20% Refurbishment</t>
  </si>
  <si>
    <t>SKBBK — 30% Refurbishment</t>
  </si>
  <si>
    <t>SKBBK — 40% Refurbishment</t>
  </si>
  <si>
    <t>SECTION C — MANPOWER COSTS  (Refurbishment Unit, 18 FTEs, 3% annual increment)</t>
  </si>
  <si>
    <t>Full Refurbishment Unit (18 FTEs) — Year 1 is 6-month ramp-up</t>
  </si>
  <si>
    <t>SECTION D — IMPLEMENTATION / SETUP COSTS  (Phases 1–3 + Phase 5 only, Phase 4 REMOVED)</t>
  </si>
  <si>
    <t>Total Setup Investment — Phases 1–3 + Phase 5 (no Phase 4)</t>
  </si>
  <si>
    <t xml:space="preserve">  ↳ Phase 1 — Regulatory &amp; INSPIRE tagging  [Year 1]</t>
  </si>
  <si>
    <t xml:space="preserve">  ↳ Phase 2 — INSPIRE Extension &amp; Training  [Year 1]</t>
  </si>
  <si>
    <t xml:space="preserve">  ↳ Phase 3 — Pilot, Equipment &amp; Workforce  [Year 2]</t>
  </si>
  <si>
    <t xml:space="preserve">  ↳ Phase 5 — Rehab Nav + National Rollout  [Year 3]</t>
  </si>
  <si>
    <t>SECTION E — TOTAL PROGRAMME COST &amp; NET SAVINGS  (vs SKBBK No Refurb — doing nothing)</t>
  </si>
  <si>
    <t>TOTAL PROGRAMME COST  (SKBBK 20% refurb + manpower + setup)</t>
  </si>
  <si>
    <t>SKBBK Baseline — No Refurb, No Programme</t>
  </si>
  <si>
    <t>NET SAVING — Running the Programme vs Doing Nothing</t>
  </si>
  <si>
    <t>Programme ROI  (Net Saving ÷ Total Setup + Manpower)</t>
  </si>
  <si>
    <t>ESG Carbon Savings — Medical Aid Refurbishment Programme</t>
  </si>
  <si>
    <t>Scope 3 upstream emissions avoided by refurbishing vs procuring new units from China suppliers (Foshan Achieve / Guangdong Dayang / GUANGZHOU TOPMEDI) via Fair Medicare / SEVENS CARE</t>
  </si>
  <si>
    <t>SECTION 1 — EMISSION FACTOR ASSUMPTIONS  (blue = editable inputs)</t>
  </si>
  <si>
    <t>Parameter</t>
  </si>
  <si>
    <t>Value</t>
  </si>
  <si>
    <t>Unit</t>
  </si>
  <si>
    <t>Source / Basis</t>
  </si>
  <si>
    <t>── MATERIAL EMBODIED CARBON (kg CO₂e per kg material) ──────────────────────</t>
  </si>
  <si>
    <t>Aluminium (primary, China avg)</t>
  </si>
  <si>
    <t>kg CO₂e / kg</t>
  </si>
  <si>
    <t>IPCC / IAI 2023 Global LCA</t>
  </si>
  <si>
    <t>Primary Al smelting; China grid-intensive. 90% recycled = ~0.5 kg CO₂e/kg</t>
  </si>
  <si>
    <t>Steel (hot-rolled, China)</t>
  </si>
  <si>
    <t>World Steel Assoc. 2023</t>
  </si>
  <si>
    <t>Blast furnace route, avg Chinese mill</t>
  </si>
  <si>
    <t>Plastic — PP/ABS (China)</t>
  </si>
  <si>
    <t>PlasticsEurope / Ecoinvent 3.9</t>
  </si>
  <si>
    <t>Fossil-based thermoplastics, China production</t>
  </si>
  <si>
    <t>Rubber (synthetic, China)</t>
  </si>
  <si>
    <t>Ecoinvent 3.9 rubber dataset</t>
  </si>
  <si>
    <t>SBR/NBR synthetic rubber</t>
  </si>
  <si>
    <t>Fabric / cushion foam (China)</t>
  </si>
  <si>
    <t>Textile Exchange 2023 / Ecoinvent</t>
  </si>
  <si>
    <t>Polyester fabric + polyurethane foam avg</t>
  </si>
  <si>
    <t>── SHIPPING EMISSION FACTOR ────────────────────────────────────────────────</t>
  </si>
  <si>
    <t>Sea freight emission factor</t>
  </si>
  <si>
    <t>kg CO₂e / tonne·km</t>
  </si>
  <si>
    <t>IMO GHG Study 2020 / GLEC Framework</t>
  </si>
  <si>
    <t>Container vessel avg; 0.016 kg CO₂e per tonne-km</t>
  </si>
  <si>
    <t>── SHIPPING ROUTES (nautical miles → km × 1.852) ──────────────────────────</t>
  </si>
  <si>
    <t>Nansha (GZ) → Pelabuhan Klang</t>
  </si>
  <si>
    <t>km</t>
  </si>
  <si>
    <t>Sea-distances.org / MarineTraffic</t>
  </si>
  <si>
    <t>Aluminium supply route (~1340 NM × 1.852)</t>
  </si>
  <si>
    <t>Shenzhen → Kota Kinabalu</t>
  </si>
  <si>
    <t>Sea-distances.org</t>
  </si>
  <si>
    <t>Steel supply route (~1111 NM × 1.852)</t>
  </si>
  <si>
    <t>Guangzhou → Kuching</t>
  </si>
  <si>
    <t>Plastic supply route (~1269 NM × 1.852)</t>
  </si>
  <si>
    <t>China avg port → Malaysia avg</t>
  </si>
  <si>
    <t>Used as default for rubber &amp; fabric</t>
  </si>
  <si>
    <t>Average of above three routes</t>
  </si>
  <si>
    <t>── SHIPMENT FREQUENCY ─────────────────────────────────────────────────────</t>
  </si>
  <si>
    <t>Shipments per year (actual)</t>
  </si>
  <si>
    <t>shipments / year</t>
  </si>
  <si>
    <t>PERKESO supplier data</t>
  </si>
  <si>
    <t>Monthly shipment schedule from Chinese suppliers</t>
  </si>
  <si>
    <t>── REFURBISHMENT ENERGY USE ────────────────────────────────────────────────</t>
  </si>
  <si>
    <t>Electricity per refurb unit</t>
  </si>
  <si>
    <t>kWh / unit</t>
  </si>
  <si>
    <t>Industry estimate (UV + cleaning)</t>
  </si>
  <si>
    <t>UV sterilisation + testing; Malaysia grid 0.551 kg CO₂e/kWh</t>
  </si>
  <si>
    <t>Malaysia grid emission factor</t>
  </si>
  <si>
    <t>kg CO₂e / kWh</t>
  </si>
  <si>
    <t>Suruhanjaya Tenaga 2023 NIF</t>
  </si>
  <si>
    <t>National grid average 2023</t>
  </si>
  <si>
    <t>Local transport per refurb</t>
  </si>
  <si>
    <t>kg CO₂e / unit</t>
  </si>
  <si>
    <t>Estimated: 50km van, 10 units/trip</t>
  </si>
  <si>
    <t>Retrieval + redistribution last-mile</t>
  </si>
  <si>
    <t>SECTION 2 — MEDICAL AID MATERIAL COMPOSITION (per unit, kg)</t>
  </si>
  <si>
    <t>Medical Aid</t>
  </si>
  <si>
    <t>Total Weight (kg)</t>
  </si>
  <si>
    <t>Aluminium (kg)</t>
  </si>
  <si>
    <t>Steel (kg)</t>
  </si>
  <si>
    <t>Plastic (kg)</t>
  </si>
  <si>
    <t>Rubber (kg)</t>
  </si>
  <si>
    <t>Fabric/Foam (kg)</t>
  </si>
  <si>
    <t>Other (avg)</t>
  </si>
  <si>
    <t>SECTION 3 — EMBODIED CARBON PER NEW UNIT (kg CO₂e) — Manufacturing + Shipping</t>
  </si>
  <si>
    <t>Manufacturing
CO₂e (kg)</t>
  </si>
  <si>
    <t>Shipping
CO₂e (kg)</t>
  </si>
  <si>
    <t>TOTAL CO₂e
per new unit (kg)</t>
  </si>
  <si>
    <t>Shipping
Route</t>
  </si>
  <si>
    <t>Ship dist. (km)</t>
  </si>
  <si>
    <t>Ships/yr</t>
  </si>
  <si>
    <t>Nansha→Klang / Shenzhen→KK</t>
  </si>
  <si>
    <t>Shenzhen→Kota Kinabalu</t>
  </si>
  <si>
    <t>Guangzhou→Kuching</t>
  </si>
  <si>
    <t>Nansha→Pelabuhan Klang</t>
  </si>
  <si>
    <t>China avg → Malaysia avg</t>
  </si>
  <si>
    <t>SECTION 4 — ANNUAL SHIPPING EMISSIONS FROM NEW PROCUREMENT (12 shipments/year)</t>
  </si>
  <si>
    <t>Units
Procured/yr</t>
  </si>
  <si>
    <t>Unit Weight
(kg)</t>
  </si>
  <si>
    <t>Total Cargo
(tonnes)</t>
  </si>
  <si>
    <t>Dist (km)</t>
  </si>
  <si>
    <t>CO₂e per
Shipment (kg)</t>
  </si>
  <si>
    <t>Annual CO₂e
12 ships (kg)</t>
  </si>
  <si>
    <t>TOTAL ANNUAL SHIPPING CO₂e FROM NEW PROCUREMENT</t>
  </si>
  <si>
    <t>SECTION 5 — CARBON SAVED PER REFURBISHED UNIT (vs procuring new from China)</t>
  </si>
  <si>
    <t>CO₂e New Unit
(kg)</t>
  </si>
  <si>
    <t>CO₂e Refurb
Process (kg)</t>
  </si>
  <si>
    <t>NET CO₂e
Saved (kg)</t>
  </si>
  <si>
    <t>Saving
%</t>
  </si>
  <si>
    <t>Equivalent
(km driven*)</t>
  </si>
  <si>
    <t>ESG
Rating</t>
  </si>
  <si>
    <t>★★★★★</t>
  </si>
  <si>
    <t>★★★★</t>
  </si>
  <si>
    <t>★★★</t>
  </si>
  <si>
    <t>* Car equivalent at 0.21 kg CO₂e/km (avg petrol vehicle, Malaysia). Refurb process: 2.5 kWh UV/cleaning × 0.551 (MY grid factor) + 0.80 kg local transport = 2.18 kg CO₂e per unit.</t>
  </si>
  <si>
    <t>SECTION 6 — ANNUAL ESG IMPACT BY REFURBISHMENT LEVEL (all item categories)</t>
  </si>
  <si>
    <t>Units/yr</t>
  </si>
  <si>
    <t>CO₂e saved
10% refurb (kg)</t>
  </si>
  <si>
    <t>CO₂e saved
20% refurb (kg)</t>
  </si>
  <si>
    <t>CO₂e saved
30% refurb (kg)</t>
  </si>
  <si>
    <t>CO₂e saved
40% refurb (kg)</t>
  </si>
  <si>
    <t>CO₂e saved
40% (tonnes)</t>
  </si>
  <si>
    <t>TOTAL ANNUAL CO₂e SAVED (kg)</t>
  </si>
  <si>
    <t xml:space="preserve">  + Annual shipping CO₂e also avoided (proportional to refurb)</t>
  </si>
  <si>
    <t>SECTION 7 — 10-YEAR CUMULATIVE ESG IMPACT PROJECTION</t>
  </si>
  <si>
    <t>Scenario</t>
  </si>
  <si>
    <t>Annual CO₂e
Saved (kg)</t>
  </si>
  <si>
    <t>10-Yr CO₂e
Saved (kg)</t>
  </si>
  <si>
    <t>10-Yr CO₂e
Saved (tonnes)</t>
  </si>
  <si>
    <t>Trees
Equivalent*</t>
  </si>
  <si>
    <t>Cars Off
Road (1yr)*</t>
  </si>
  <si>
    <t>SDG
Alignment</t>
  </si>
  <si>
    <t>10% Refurbishment (conservative)</t>
  </si>
  <si>
    <t>E, F12, F13</t>
  </si>
  <si>
    <t>20% Refurbishment (base case)</t>
  </si>
  <si>
    <t>30% Refurbishment (target)</t>
  </si>
  <si>
    <t>40% Refurbishment (full programme)</t>
  </si>
  <si>
    <t>* Tree: absorbs ~21 kg CO₂/yr (IPCC). Car: avg 2,400 kg CO₂/yr removed (Malaysia avg vehicle). SDG refs: Goal 12 (Responsible Consumption), Goal 13 (Climate Action).</t>
  </si>
  <si>
    <t>SECTION 8 — SUPPLIER &amp; SUPPLY CHAIN PROFILE</t>
  </si>
  <si>
    <t>Supplier / Distributor</t>
  </si>
  <si>
    <t>Type</t>
  </si>
  <si>
    <t>Country</t>
  </si>
  <si>
    <t>Port</t>
  </si>
  <si>
    <t>Materials / Role</t>
  </si>
  <si>
    <t>Scope 3 Tier</t>
  </si>
  <si>
    <t>ESG Risk</t>
  </si>
  <si>
    <t>Foshan Achieve Medical Technology Co., Ltd</t>
  </si>
  <si>
    <t>OEM Manufacturer</t>
  </si>
  <si>
    <t>China</t>
  </si>
  <si>
    <t>Nansha (GZ)</t>
  </si>
  <si>
    <t>Full wheelchair assembly, foam products</t>
  </si>
  <si>
    <t>Medium-High</t>
  </si>
  <si>
    <t>Guangdong Dayang Medical Technology Co., Ltd</t>
  </si>
  <si>
    <t>Wheelchairs, commodes, hoists</t>
  </si>
  <si>
    <t>GUANGZHOU TOPMEDI CO., LTD</t>
  </si>
  <si>
    <t>Guangzhou</t>
  </si>
  <si>
    <t>Full range medical aids</t>
  </si>
  <si>
    <t>Fair Medicare Sdn Bhd</t>
  </si>
  <si>
    <t>Local Distributor</t>
  </si>
  <si>
    <t>Malaysia</t>
  </si>
  <si>
    <t>Pelabuhan Klang</t>
  </si>
  <si>
    <t>Importer &amp; distributor — aluminium-heavy items</t>
  </si>
  <si>
    <t>Low-Medium</t>
  </si>
  <si>
    <t>SEVENS CARE</t>
  </si>
  <si>
    <t>Multiple</t>
  </si>
  <si>
    <t>Importer &amp; distributor — full range</t>
  </si>
  <si>
    <t>Aluminium supplier</t>
  </si>
  <si>
    <t>Raw Material</t>
  </si>
  <si>
    <t>Pelabuhan Nansha</t>
  </si>
  <si>
    <t>Al frames — 8.24 kg CO₂e/kg</t>
  </si>
  <si>
    <t>High (energy-intensive)</t>
  </si>
  <si>
    <t>Steel supplier</t>
  </si>
  <si>
    <t>Pelabuhan Shenzhen</t>
  </si>
  <si>
    <t>Steel frames — 1.85 kg CO₂e/kg</t>
  </si>
  <si>
    <t>Medium</t>
  </si>
  <si>
    <t>Plastic supplier</t>
  </si>
  <si>
    <t>Pelabuhan Guangzhou</t>
  </si>
  <si>
    <t>PP/ABS components — 2.53 kg CO₂e/kg</t>
  </si>
  <si>
    <t>Rubber supplier</t>
  </si>
  <si>
    <t>Guangzhou area</t>
  </si>
  <si>
    <t>Synthetic rubber — 2.85 kg CO₂e/kg</t>
  </si>
  <si>
    <t>Fabric / cushion supplier</t>
  </si>
  <si>
    <t>Polyester + PU foam — 3.10 kg CO₂e/kg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</si>
</sst>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M &quot;#,##0.00"/>
    <numFmt numFmtId="165" formatCode="0.0%"/>
    <numFmt numFmtId="166" formatCode="&quot;RM &quot;#,##0"/>
    <numFmt numFmtId="167" formatCode="0.0\x"/>
    <numFmt numFmtId="168" formatCode="0.00\x"/>
    <numFmt numFmtId="169" formatCode="#,##0.000"/>
    <numFmt numFmtId="170" formatCode="#,##0.0"/>
  </numFmts>
  <fonts count="56" x14ac:knownFonts="1">
    <font>
      <sz val="11"/>
      <color theme="1"/>
      <name val="Calibri"/>
      <family val="2"/>
      <charset val="1"/>
    </font>
    <font>
      <b/>
      <sz val="17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F5496"/>
      <name val="Arial"/>
      <family val="2"/>
    </font>
    <font>
      <sz val="10"/>
      <color rgb="FF595959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16"/>
      <color rgb="FFFFFFFF"/>
      <name val="Arial"/>
      <family val="2"/>
    </font>
    <font>
      <sz val="10"/>
      <color rgb="FF000000"/>
      <name val="Arial"/>
      <family val="2"/>
    </font>
    <font>
      <sz val="10"/>
      <color rgb="FF2F5496"/>
      <name val="Arial"/>
      <family val="2"/>
    </font>
    <font>
      <sz val="10"/>
      <color rgb="FF375623"/>
      <name val="Arial"/>
      <family val="2"/>
    </font>
    <font>
      <sz val="10"/>
      <name val="Arial"/>
      <family val="2"/>
    </font>
    <font>
      <b/>
      <sz val="10"/>
      <color rgb="FFC9A84C"/>
      <name val="Arial"/>
      <family val="2"/>
    </font>
    <font>
      <sz val="10"/>
      <color rgb="FF7B0000"/>
      <name val="Arial"/>
      <family val="2"/>
    </font>
    <font>
      <sz val="10"/>
      <color rgb="FFA00000"/>
      <name val="Arial"/>
      <family val="2"/>
    </font>
    <font>
      <i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833C00"/>
      <name val="Arial"/>
      <family val="2"/>
    </font>
    <font>
      <sz val="9"/>
      <color rgb="FF595959"/>
      <name val="Arial"/>
      <family val="2"/>
    </font>
    <font>
      <b/>
      <sz val="10"/>
      <color rgb="FF833C00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10"/>
      <color rgb="FF000080"/>
      <name val="Arial"/>
      <family val="2"/>
    </font>
    <font>
      <sz val="8"/>
      <color rgb="FF595959"/>
      <name val="Arial"/>
      <family val="2"/>
    </font>
    <font>
      <b/>
      <sz val="9"/>
      <color rgb="FF2F5496"/>
      <name val="Arial"/>
      <family val="2"/>
    </font>
    <font>
      <b/>
      <sz val="9"/>
      <color rgb="FF7B0000"/>
      <name val="Arial"/>
      <family val="2"/>
    </font>
    <font>
      <b/>
      <sz val="9"/>
      <color rgb="FF833C00"/>
      <name val="Arial"/>
      <family val="2"/>
    </font>
    <font>
      <b/>
      <sz val="10"/>
      <color rgb="FF595959"/>
      <name val="Arial"/>
      <family val="2"/>
    </font>
    <font>
      <i/>
      <strike/>
      <sz val="9"/>
      <color rgb="FF595959"/>
      <name val="Arial"/>
      <family val="2"/>
    </font>
    <font>
      <b/>
      <sz val="9"/>
      <color rgb="FF44286B"/>
      <name val="Arial"/>
      <family val="2"/>
    </font>
    <font>
      <i/>
      <sz val="10"/>
      <color rgb="FF595959"/>
      <name val="Arial"/>
      <family val="2"/>
    </font>
    <font>
      <b/>
      <sz val="11"/>
      <color rgb="FFC9A84C"/>
      <name val="Arial"/>
      <family val="2"/>
    </font>
    <font>
      <b/>
      <sz val="10"/>
      <color rgb="FF375623"/>
      <name val="Arial"/>
      <family val="2"/>
    </font>
    <font>
      <b/>
      <sz val="10"/>
      <color rgb="FF7B0000"/>
      <name val="Arial"/>
      <family val="2"/>
    </font>
    <font>
      <b/>
      <sz val="10"/>
      <color rgb="FF1F3864"/>
      <name val="Arial"/>
      <family val="2"/>
    </font>
    <font>
      <b/>
      <sz val="11"/>
      <color rgb="FF2F5496"/>
      <name val="Arial"/>
      <family val="2"/>
    </font>
    <font>
      <b/>
      <sz val="10"/>
      <color rgb="FF44286B"/>
      <name val="Arial"/>
      <family val="2"/>
    </font>
    <font>
      <sz val="8"/>
      <color rgb="FF44286B"/>
      <name val="Arial"/>
      <family val="2"/>
    </font>
    <font>
      <b/>
      <sz val="11"/>
      <color rgb="FF375623"/>
      <name val="Arial"/>
      <family val="2"/>
    </font>
    <font>
      <b/>
      <sz val="12"/>
      <color rgb="FF375623"/>
      <name val="Arial"/>
      <family val="2"/>
    </font>
    <font>
      <b/>
      <i/>
      <sz val="8"/>
      <color rgb="FF595959"/>
      <name val="Arial"/>
      <family val="2"/>
    </font>
    <font>
      <b/>
      <sz val="10"/>
      <color rgb="FF1E4D2B"/>
      <name val="Arial"/>
      <family val="2"/>
    </font>
    <font>
      <sz val="10"/>
      <color rgb="FF2D6A0A"/>
      <name val="Arial"/>
      <family val="2"/>
    </font>
    <font>
      <b/>
      <sz val="10"/>
      <color rgb="FF5D4037"/>
      <name val="Arial"/>
      <family val="2"/>
    </font>
    <font>
      <b/>
      <sz val="10"/>
      <color rgb="FF145214"/>
      <name val="Arial"/>
      <family val="2"/>
    </font>
    <font>
      <sz val="10"/>
      <color rgb="FF1F3864"/>
      <name val="Arial"/>
      <family val="2"/>
    </font>
    <font>
      <sz val="10"/>
      <color rgb="FF5D4037"/>
      <name val="Arial"/>
      <family val="2"/>
    </font>
    <font>
      <b/>
      <sz val="10"/>
      <color rgb="FF2D6A0A"/>
      <name val="Arial"/>
      <family val="2"/>
    </font>
    <font>
      <sz val="10"/>
      <color rgb="FF145214"/>
      <name val="Arial"/>
      <family val="2"/>
    </font>
    <font>
      <b/>
      <sz val="9"/>
      <color rgb="FFFFFFFF"/>
      <name val="Arial"/>
      <family val="2"/>
    </font>
    <font>
      <sz val="9"/>
      <color rgb="FF1E4D2B"/>
      <name val="Arial"/>
      <family val="2"/>
    </font>
    <font>
      <sz val="10"/>
      <color rgb="FF1E4D2B"/>
      <name val="Arial"/>
      <family val="2"/>
    </font>
    <font>
      <sz val="9"/>
      <color rgb="FF2F5496"/>
      <name val="Arial"/>
      <family val="2"/>
    </font>
    <font>
      <b/>
      <sz val="9"/>
      <color rgb="FF1F3864"/>
      <name val="Arial"/>
      <family val="2"/>
    </font>
    <font>
      <b/>
      <sz val="9"/>
      <color rgb="FF1E4D2B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44286B"/>
      </patternFill>
    </fill>
    <fill>
      <patternFill patternType="solid">
        <fgColor rgb="FF1F6B75"/>
        <bgColor rgb="FF2F5496"/>
      </patternFill>
    </fill>
    <fill>
      <patternFill patternType="solid">
        <fgColor rgb="FFF2F2F2"/>
        <bgColor rgb="FFEFEFEF"/>
      </patternFill>
    </fill>
    <fill>
      <patternFill patternType="solid">
        <fgColor rgb="FFFFFFFF"/>
        <bgColor rgb="FFFFF8E1"/>
      </patternFill>
    </fill>
    <fill>
      <patternFill patternType="solid">
        <fgColor rgb="FFD9E8F0"/>
        <bgColor rgb="FFE2EFDA"/>
      </patternFill>
    </fill>
    <fill>
      <patternFill patternType="solid">
        <fgColor rgb="FFFDECEA"/>
        <bgColor rgb="FFF2F2F2"/>
      </patternFill>
    </fill>
    <fill>
      <patternFill patternType="solid">
        <fgColor rgb="FFE2EFDA"/>
        <bgColor rgb="FFD5F0D5"/>
      </patternFill>
    </fill>
    <fill>
      <patternFill patternType="solid">
        <fgColor rgb="FFFFF3CD"/>
        <bgColor rgb="FFFFF8E1"/>
      </patternFill>
    </fill>
    <fill>
      <patternFill patternType="solid">
        <fgColor rgb="FFEAE0F5"/>
        <bgColor rgb="FFD9E8F0"/>
      </patternFill>
    </fill>
    <fill>
      <patternFill patternType="solid">
        <fgColor rgb="FF7B0000"/>
        <bgColor rgb="FF5C0000"/>
      </patternFill>
    </fill>
    <fill>
      <patternFill patternType="solid">
        <fgColor rgb="FF5C0000"/>
        <bgColor rgb="FF7B0000"/>
      </patternFill>
    </fill>
    <fill>
      <patternFill patternType="solid">
        <fgColor rgb="FF833C00"/>
        <bgColor rgb="FF5D4037"/>
      </patternFill>
    </fill>
    <fill>
      <patternFill patternType="solid">
        <fgColor rgb="FF44286B"/>
        <bgColor rgb="FF1F3864"/>
      </patternFill>
    </fill>
    <fill>
      <patternFill patternType="solid">
        <fgColor rgb="FF375623"/>
        <bgColor rgb="FF1E4D2B"/>
      </patternFill>
    </fill>
    <fill>
      <patternFill patternType="solid">
        <fgColor rgb="FF2F5496"/>
        <bgColor rgb="FF1F6B75"/>
      </patternFill>
    </fill>
    <fill>
      <patternFill patternType="solid">
        <fgColor rgb="FFD0D0D0"/>
        <bgColor rgb="FFC7E0B0"/>
      </patternFill>
    </fill>
    <fill>
      <patternFill patternType="solid">
        <fgColor rgb="FFC9A84C"/>
        <bgColor rgb="FFFF9900"/>
      </patternFill>
    </fill>
    <fill>
      <patternFill patternType="solid">
        <fgColor rgb="FF595959"/>
        <bgColor rgb="FF5D4037"/>
      </patternFill>
    </fill>
    <fill>
      <patternFill patternType="solid">
        <fgColor rgb="FFFFF8E1"/>
        <bgColor rgb="FFFFF3CD"/>
      </patternFill>
    </fill>
    <fill>
      <patternFill patternType="solid">
        <fgColor rgb="FFFCE4D6"/>
        <bgColor rgb="FFFDECEA"/>
      </patternFill>
    </fill>
    <fill>
      <patternFill patternType="solid">
        <fgColor rgb="FF2D6A0A"/>
        <bgColor rgb="FF375623"/>
      </patternFill>
    </fill>
    <fill>
      <patternFill patternType="solid">
        <fgColor rgb="FF145214"/>
        <bgColor rgb="FF1E4D2B"/>
      </patternFill>
    </fill>
    <fill>
      <patternFill patternType="solid">
        <fgColor rgb="FF1E4D2B"/>
        <bgColor rgb="FF145214"/>
      </patternFill>
    </fill>
    <fill>
      <patternFill patternType="solid">
        <fgColor rgb="FFEFEFEF"/>
        <bgColor rgb="FFF2F2F2"/>
      </patternFill>
    </fill>
    <fill>
      <patternFill patternType="solid">
        <fgColor rgb="FFC7E0B0"/>
        <bgColor rgb="FFC0E8C0"/>
      </patternFill>
    </fill>
    <fill>
      <patternFill patternType="solid">
        <fgColor rgb="FFEAF5EA"/>
        <bgColor rgb="FFEFEFEF"/>
      </patternFill>
    </fill>
    <fill>
      <patternFill patternType="solid">
        <fgColor rgb="FFD5F0D5"/>
        <bgColor rgb="FFE2EFDA"/>
      </patternFill>
    </fill>
    <fill>
      <patternFill patternType="solid">
        <fgColor rgb="FFC0E8C0"/>
        <bgColor rgb="FFC7E0B0"/>
      </patternFill>
    </fill>
    <fill>
      <patternFill patternType="solid">
        <fgColor rgb="FFA8DBA8"/>
        <bgColor rgb="FFC7E0B0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64" fontId="10" fillId="4" borderId="2" xfId="0" applyNumberFormat="1" applyFont="1" applyFill="1" applyBorder="1" applyAlignment="1">
      <alignment horizontal="right" vertical="center"/>
    </xf>
    <xf numFmtId="164" fontId="11" fillId="4" borderId="2" xfId="0" applyNumberFormat="1" applyFont="1" applyFill="1" applyBorder="1" applyAlignment="1">
      <alignment horizontal="right" vertical="center"/>
    </xf>
    <xf numFmtId="165" fontId="12" fillId="4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164" fontId="10" fillId="5" borderId="2" xfId="0" applyNumberFormat="1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165" fontId="12" fillId="5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164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4" fontId="14" fillId="7" borderId="2" xfId="0" applyNumberFormat="1" applyFont="1" applyFill="1" applyBorder="1" applyAlignment="1">
      <alignment horizontal="right" vertical="center"/>
    </xf>
    <xf numFmtId="164" fontId="15" fillId="7" borderId="2" xfId="0" applyNumberFormat="1" applyFont="1" applyFill="1" applyBorder="1" applyAlignment="1">
      <alignment horizontal="right" vertical="center"/>
    </xf>
    <xf numFmtId="165" fontId="12" fillId="7" borderId="2" xfId="0" applyNumberFormat="1" applyFont="1" applyFill="1" applyBorder="1" applyAlignment="1">
      <alignment horizontal="center" vertical="center"/>
    </xf>
    <xf numFmtId="164" fontId="14" fillId="5" borderId="2" xfId="0" applyNumberFormat="1" applyFont="1" applyFill="1" applyBorder="1" applyAlignment="1">
      <alignment horizontal="right" vertical="center"/>
    </xf>
    <xf numFmtId="164" fontId="15" fillId="5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left" vertical="center" indent="1"/>
    </xf>
    <xf numFmtId="164" fontId="13" fillId="12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right" vertical="center"/>
    </xf>
    <xf numFmtId="166" fontId="12" fillId="4" borderId="2" xfId="0" applyNumberFormat="1" applyFont="1" applyFill="1" applyBorder="1" applyAlignment="1">
      <alignment horizontal="right" vertical="center"/>
    </xf>
    <xf numFmtId="166" fontId="18" fillId="4" borderId="2" xfId="0" applyNumberFormat="1" applyFont="1" applyFill="1" applyBorder="1" applyAlignment="1">
      <alignment horizontal="right" vertical="center"/>
    </xf>
    <xf numFmtId="0" fontId="19" fillId="4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/>
    </xf>
    <xf numFmtId="166" fontId="9" fillId="5" borderId="2" xfId="0" applyNumberFormat="1" applyFont="1" applyFill="1" applyBorder="1" applyAlignment="1">
      <alignment horizontal="right" vertical="center"/>
    </xf>
    <xf numFmtId="166" fontId="12" fillId="5" borderId="2" xfId="0" applyNumberFormat="1" applyFont="1" applyFill="1" applyBorder="1" applyAlignment="1">
      <alignment horizontal="right" vertical="center"/>
    </xf>
    <xf numFmtId="166" fontId="18" fillId="5" borderId="2" xfId="0" applyNumberFormat="1" applyFont="1" applyFill="1" applyBorder="1" applyAlignment="1">
      <alignment horizontal="right" vertical="center"/>
    </xf>
    <xf numFmtId="0" fontId="19" fillId="5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indent="1"/>
    </xf>
    <xf numFmtId="0" fontId="13" fillId="13" borderId="3" xfId="0" applyFont="1" applyFill="1" applyBorder="1" applyAlignment="1">
      <alignment horizontal="center"/>
    </xf>
    <xf numFmtId="166" fontId="13" fillId="13" borderId="3" xfId="0" applyNumberFormat="1" applyFont="1" applyFill="1" applyBorder="1" applyAlignment="1">
      <alignment horizontal="right" vertical="center"/>
    </xf>
    <xf numFmtId="166" fontId="20" fillId="5" borderId="2" xfId="0" applyNumberFormat="1" applyFont="1" applyFill="1" applyBorder="1" applyAlignment="1">
      <alignment horizontal="right" vertical="center"/>
    </xf>
    <xf numFmtId="166" fontId="20" fillId="4" borderId="2" xfId="0" applyNumberFormat="1" applyFont="1" applyFill="1" applyBorder="1" applyAlignment="1">
      <alignment horizontal="right" vertical="center"/>
    </xf>
    <xf numFmtId="0" fontId="3" fillId="14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left" vertical="center" wrapText="1"/>
    </xf>
    <xf numFmtId="0" fontId="22" fillId="8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66" fontId="23" fillId="8" borderId="2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166" fontId="23" fillId="6" borderId="2" xfId="0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6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66" fontId="23" fillId="7" borderId="2" xfId="0" applyNumberFormat="1" applyFont="1" applyFill="1" applyBorder="1" applyAlignment="1">
      <alignment horizontal="right" vertical="center"/>
    </xf>
    <xf numFmtId="0" fontId="24" fillId="7" borderId="2" xfId="0" applyFont="1" applyFill="1" applyBorder="1" applyAlignment="1">
      <alignment horizontal="left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27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66" fontId="23" fillId="9" borderId="2" xfId="0" applyNumberFormat="1" applyFont="1" applyFill="1" applyBorder="1" applyAlignment="1">
      <alignment horizontal="right" vertical="center"/>
    </xf>
    <xf numFmtId="0" fontId="24" fillId="9" borderId="2" xfId="0" applyFont="1" applyFill="1" applyBorder="1" applyAlignment="1">
      <alignment horizontal="left" vertical="center" wrapText="1"/>
    </xf>
    <xf numFmtId="0" fontId="29" fillId="10" borderId="2" xfId="0" applyFont="1" applyFill="1" applyBorder="1" applyAlignment="1">
      <alignment horizontal="left" vertical="center" wrapText="1"/>
    </xf>
    <xf numFmtId="0" fontId="30" fillId="10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166" fontId="31" fillId="10" borderId="2" xfId="0" applyNumberFormat="1" applyFont="1" applyFill="1" applyBorder="1" applyAlignment="1">
      <alignment horizontal="right" vertical="center"/>
    </xf>
    <xf numFmtId="0" fontId="24" fillId="10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indent="1"/>
    </xf>
    <xf numFmtId="166" fontId="32" fillId="14" borderId="3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/>
    </xf>
    <xf numFmtId="0" fontId="0" fillId="8" borderId="2" xfId="0" applyFill="1" applyBorder="1"/>
    <xf numFmtId="166" fontId="33" fillId="8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/>
    </xf>
    <xf numFmtId="0" fontId="0" fillId="6" borderId="2" xfId="0" applyFill="1" applyBorder="1"/>
    <xf numFmtId="166" fontId="4" fillId="6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/>
    </xf>
    <xf numFmtId="0" fontId="0" fillId="9" borderId="2" xfId="0" applyFill="1" applyBorder="1"/>
    <xf numFmtId="166" fontId="20" fillId="9" borderId="2" xfId="0" applyNumberFormat="1" applyFont="1" applyFill="1" applyBorder="1" applyAlignment="1">
      <alignment horizontal="right" vertical="center"/>
    </xf>
    <xf numFmtId="0" fontId="31" fillId="10" borderId="2" xfId="0" applyFont="1" applyFill="1" applyBorder="1" applyAlignment="1">
      <alignment horizontal="left" vertical="center"/>
    </xf>
    <xf numFmtId="0" fontId="0" fillId="10" borderId="2" xfId="0" applyFill="1" applyBorder="1"/>
    <xf numFmtId="166" fontId="28" fillId="10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166" fontId="34" fillId="7" borderId="2" xfId="0" applyNumberFormat="1" applyFont="1" applyFill="1" applyBorder="1" applyAlignment="1">
      <alignment horizontal="right" vertical="center"/>
    </xf>
    <xf numFmtId="0" fontId="35" fillId="18" borderId="2" xfId="0" applyFont="1" applyFill="1" applyBorder="1" applyAlignment="1">
      <alignment horizontal="center" vertical="center"/>
    </xf>
    <xf numFmtId="0" fontId="35" fillId="9" borderId="2" xfId="0" applyFont="1" applyFill="1" applyBorder="1" applyAlignment="1">
      <alignment horizontal="left" vertical="center"/>
    </xf>
    <xf numFmtId="165" fontId="36" fillId="20" borderId="2" xfId="0" applyNumberFormat="1" applyFont="1" applyFill="1" applyBorder="1" applyAlignment="1">
      <alignment horizontal="center" vertical="center"/>
    </xf>
    <xf numFmtId="167" fontId="36" fillId="20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left" vertical="center"/>
    </xf>
    <xf numFmtId="0" fontId="20" fillId="21" borderId="2" xfId="0" applyFont="1" applyFill="1" applyBorder="1" applyAlignment="1">
      <alignment horizontal="left" vertical="center"/>
    </xf>
    <xf numFmtId="166" fontId="20" fillId="21" borderId="2" xfId="0" applyNumberFormat="1" applyFont="1" applyFill="1" applyBorder="1" applyAlignment="1">
      <alignment horizontal="right" vertical="center"/>
    </xf>
    <xf numFmtId="0" fontId="37" fillId="10" borderId="2" xfId="0" applyFont="1" applyFill="1" applyBorder="1" applyAlignment="1">
      <alignment horizontal="left" vertical="center"/>
    </xf>
    <xf numFmtId="166" fontId="37" fillId="10" borderId="2" xfId="0" applyNumberFormat="1" applyFont="1" applyFill="1" applyBorder="1" applyAlignment="1">
      <alignment horizontal="right" vertical="center"/>
    </xf>
    <xf numFmtId="166" fontId="5" fillId="10" borderId="2" xfId="0" applyNumberFormat="1" applyFont="1" applyFill="1" applyBorder="1" applyAlignment="1">
      <alignment horizontal="right" vertical="center"/>
    </xf>
    <xf numFmtId="0" fontId="38" fillId="10" borderId="2" xfId="0" applyFont="1" applyFill="1" applyBorder="1" applyAlignment="1">
      <alignment horizontal="left" vertical="center" indent="1"/>
    </xf>
    <xf numFmtId="166" fontId="38" fillId="10" borderId="2" xfId="0" applyNumberFormat="1" applyFont="1" applyFill="1" applyBorder="1" applyAlignment="1">
      <alignment horizontal="right" vertical="center"/>
    </xf>
    <xf numFmtId="0" fontId="24" fillId="10" borderId="2" xfId="0" applyFont="1" applyFill="1" applyBorder="1" applyAlignment="1">
      <alignment horizontal="right" vertical="center"/>
    </xf>
    <xf numFmtId="0" fontId="39" fillId="8" borderId="2" xfId="0" applyFont="1" applyFill="1" applyBorder="1" applyAlignment="1">
      <alignment horizontal="left" vertical="center"/>
    </xf>
    <xf numFmtId="166" fontId="33" fillId="8" borderId="3" xfId="0" applyNumberFormat="1" applyFont="1" applyFill="1" applyBorder="1" applyAlignment="1">
      <alignment horizontal="right" vertical="center"/>
    </xf>
    <xf numFmtId="166" fontId="40" fillId="8" borderId="3" xfId="0" applyNumberFormat="1" applyFont="1" applyFill="1" applyBorder="1" applyAlignment="1">
      <alignment horizontal="right" vertical="center"/>
    </xf>
    <xf numFmtId="0" fontId="20" fillId="9" borderId="2" xfId="0" applyFont="1" applyFill="1" applyBorder="1" applyAlignment="1">
      <alignment horizontal="left" vertical="center"/>
    </xf>
    <xf numFmtId="168" fontId="22" fillId="9" borderId="2" xfId="0" applyNumberFormat="1" applyFont="1" applyFill="1" applyBorder="1" applyAlignment="1">
      <alignment horizontal="center" vertical="center"/>
    </xf>
    <xf numFmtId="168" fontId="33" fillId="9" borderId="3" xfId="0" applyNumberFormat="1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left" vertical="center" wrapText="1"/>
    </xf>
    <xf numFmtId="169" fontId="4" fillId="20" borderId="2" xfId="0" applyNumberFormat="1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left" vertical="center"/>
    </xf>
    <xf numFmtId="0" fontId="3" fillId="23" borderId="2" xfId="0" applyFont="1" applyFill="1" applyBorder="1" applyAlignment="1">
      <alignment horizontal="center" vertical="center" wrapText="1"/>
    </xf>
    <xf numFmtId="0" fontId="42" fillId="26" borderId="2" xfId="0" applyFont="1" applyFill="1" applyBorder="1" applyAlignment="1">
      <alignment horizontal="left" vertical="center"/>
    </xf>
    <xf numFmtId="4" fontId="42" fillId="26" borderId="2" xfId="0" applyNumberFormat="1" applyFont="1" applyFill="1" applyBorder="1" applyAlignment="1">
      <alignment horizontal="right" vertical="center"/>
    </xf>
    <xf numFmtId="4" fontId="43" fillId="26" borderId="2" xfId="0" applyNumberFormat="1" applyFont="1" applyFill="1" applyBorder="1" applyAlignment="1">
      <alignment horizontal="right" vertical="center"/>
    </xf>
    <xf numFmtId="0" fontId="42" fillId="5" borderId="2" xfId="0" applyFont="1" applyFill="1" applyBorder="1" applyAlignment="1">
      <alignment horizontal="left" vertical="center"/>
    </xf>
    <xf numFmtId="4" fontId="42" fillId="5" borderId="2" xfId="0" applyNumberFormat="1" applyFont="1" applyFill="1" applyBorder="1" applyAlignment="1">
      <alignment horizontal="right" vertical="center"/>
    </xf>
    <xf numFmtId="4" fontId="43" fillId="5" borderId="2" xfId="0" applyNumberFormat="1" applyFont="1" applyFill="1" applyBorder="1" applyAlignment="1">
      <alignment horizontal="right" vertical="center"/>
    </xf>
    <xf numFmtId="4" fontId="44" fillId="26" borderId="2" xfId="0" applyNumberFormat="1" applyFont="1" applyFill="1" applyBorder="1" applyAlignment="1">
      <alignment horizontal="right" vertical="center"/>
    </xf>
    <xf numFmtId="169" fontId="10" fillId="26" borderId="2" xfId="0" applyNumberFormat="1" applyFont="1" applyFill="1" applyBorder="1" applyAlignment="1">
      <alignment horizontal="right" vertical="center"/>
    </xf>
    <xf numFmtId="4" fontId="45" fillId="26" borderId="2" xfId="0" applyNumberFormat="1" applyFont="1" applyFill="1" applyBorder="1" applyAlignment="1">
      <alignment horizontal="right" vertical="center"/>
    </xf>
    <xf numFmtId="0" fontId="24" fillId="26" borderId="2" xfId="0" applyFont="1" applyFill="1" applyBorder="1" applyAlignment="1">
      <alignment horizontal="left" vertical="center"/>
    </xf>
    <xf numFmtId="3" fontId="10" fillId="26" borderId="2" xfId="0" applyNumberFormat="1" applyFont="1" applyFill="1" applyBorder="1" applyAlignment="1">
      <alignment horizontal="center" vertical="center"/>
    </xf>
    <xf numFmtId="3" fontId="46" fillId="26" borderId="2" xfId="0" applyNumberFormat="1" applyFont="1" applyFill="1" applyBorder="1" applyAlignment="1">
      <alignment horizontal="center" vertical="center"/>
    </xf>
    <xf numFmtId="4" fontId="44" fillId="5" borderId="2" xfId="0" applyNumberFormat="1" applyFont="1" applyFill="1" applyBorder="1" applyAlignment="1">
      <alignment horizontal="right" vertical="center"/>
    </xf>
    <xf numFmtId="169" fontId="10" fillId="5" borderId="2" xfId="0" applyNumberFormat="1" applyFont="1" applyFill="1" applyBorder="1" applyAlignment="1">
      <alignment horizontal="right" vertical="center"/>
    </xf>
    <xf numFmtId="4" fontId="45" fillId="5" borderId="2" xfId="0" applyNumberFormat="1" applyFont="1" applyFill="1" applyBorder="1" applyAlignment="1">
      <alignment horizontal="right" vertical="center"/>
    </xf>
    <xf numFmtId="3" fontId="10" fillId="5" borderId="2" xfId="0" applyNumberFormat="1" applyFont="1" applyFill="1" applyBorder="1" applyAlignment="1">
      <alignment horizontal="center" vertical="center"/>
    </xf>
    <xf numFmtId="3" fontId="46" fillId="5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2" fillId="27" borderId="2" xfId="0" applyFont="1" applyFill="1" applyBorder="1" applyAlignment="1">
      <alignment horizontal="left" vertical="center"/>
    </xf>
    <xf numFmtId="3" fontId="46" fillId="27" borderId="2" xfId="0" applyNumberFormat="1" applyFont="1" applyFill="1" applyBorder="1" applyAlignment="1">
      <alignment horizontal="center" vertical="center"/>
    </xf>
    <xf numFmtId="170" fontId="9" fillId="27" borderId="2" xfId="0" applyNumberFormat="1" applyFont="1" applyFill="1" applyBorder="1" applyAlignment="1">
      <alignment horizontal="center" vertical="center"/>
    </xf>
    <xf numFmtId="4" fontId="9" fillId="27" borderId="2" xfId="0" applyNumberFormat="1" applyFont="1" applyFill="1" applyBorder="1" applyAlignment="1">
      <alignment horizontal="center" vertical="center"/>
    </xf>
    <xf numFmtId="3" fontId="10" fillId="27" borderId="2" xfId="0" applyNumberFormat="1" applyFont="1" applyFill="1" applyBorder="1" applyAlignment="1">
      <alignment horizontal="center" vertical="center"/>
    </xf>
    <xf numFmtId="170" fontId="9" fillId="27" borderId="2" xfId="0" applyNumberFormat="1" applyFont="1" applyFill="1" applyBorder="1" applyAlignment="1">
      <alignment horizontal="right" vertical="center"/>
    </xf>
    <xf numFmtId="3" fontId="34" fillId="27" borderId="2" xfId="0" applyNumberFormat="1" applyFont="1" applyFill="1" applyBorder="1" applyAlignment="1">
      <alignment horizontal="right" vertical="center"/>
    </xf>
    <xf numFmtId="170" fontId="9" fillId="5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  <xf numFmtId="170" fontId="9" fillId="5" borderId="2" xfId="0" applyNumberFormat="1" applyFont="1" applyFill="1" applyBorder="1" applyAlignment="1">
      <alignment horizontal="right" vertical="center"/>
    </xf>
    <xf numFmtId="3" fontId="34" fillId="5" borderId="2" xfId="0" applyNumberFormat="1" applyFont="1" applyFill="1" applyBorder="1" applyAlignment="1">
      <alignment horizontal="right" vertical="center"/>
    </xf>
    <xf numFmtId="0" fontId="3" fillId="23" borderId="2" xfId="0" applyFont="1" applyFill="1" applyBorder="1" applyAlignment="1">
      <alignment horizontal="left" vertical="center" indent="1"/>
    </xf>
    <xf numFmtId="0" fontId="0" fillId="23" borderId="2" xfId="0" applyFill="1" applyBorder="1"/>
    <xf numFmtId="3" fontId="32" fillId="23" borderId="2" xfId="0" applyNumberFormat="1" applyFont="1" applyFill="1" applyBorder="1" applyAlignment="1">
      <alignment horizontal="right" vertical="center"/>
    </xf>
    <xf numFmtId="0" fontId="42" fillId="8" borderId="2" xfId="0" applyFont="1" applyFill="1" applyBorder="1" applyAlignment="1">
      <alignment horizontal="left" vertical="center"/>
    </xf>
    <xf numFmtId="170" fontId="14" fillId="8" borderId="2" xfId="0" applyNumberFormat="1" applyFont="1" applyFill="1" applyBorder="1" applyAlignment="1">
      <alignment horizontal="right" vertical="center"/>
    </xf>
    <xf numFmtId="4" fontId="47" fillId="8" borderId="2" xfId="0" applyNumberFormat="1" applyFont="1" applyFill="1" applyBorder="1" applyAlignment="1">
      <alignment horizontal="right" vertical="center"/>
    </xf>
    <xf numFmtId="170" fontId="45" fillId="8" borderId="2" xfId="0" applyNumberFormat="1" applyFont="1" applyFill="1" applyBorder="1" applyAlignment="1">
      <alignment horizontal="right" vertical="center"/>
    </xf>
    <xf numFmtId="165" fontId="48" fillId="8" borderId="2" xfId="0" applyNumberFormat="1" applyFont="1" applyFill="1" applyBorder="1" applyAlignment="1">
      <alignment horizontal="center" vertical="center"/>
    </xf>
    <xf numFmtId="3" fontId="10" fillId="8" borderId="2" xfId="0" applyNumberFormat="1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170" fontId="14" fillId="5" borderId="2" xfId="0" applyNumberFormat="1" applyFont="1" applyFill="1" applyBorder="1" applyAlignment="1">
      <alignment horizontal="right" vertical="center"/>
    </xf>
    <xf numFmtId="4" fontId="47" fillId="5" borderId="2" xfId="0" applyNumberFormat="1" applyFont="1" applyFill="1" applyBorder="1" applyAlignment="1">
      <alignment horizontal="right" vertical="center"/>
    </xf>
    <xf numFmtId="170" fontId="45" fillId="5" borderId="2" xfId="0" applyNumberFormat="1" applyFont="1" applyFill="1" applyBorder="1" applyAlignment="1">
      <alignment horizontal="right" vertical="center"/>
    </xf>
    <xf numFmtId="165" fontId="48" fillId="5" borderId="2" xfId="0" applyNumberFormat="1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3" fontId="46" fillId="8" borderId="2" xfId="0" applyNumberFormat="1" applyFont="1" applyFill="1" applyBorder="1" applyAlignment="1">
      <alignment horizontal="center" vertical="center"/>
    </xf>
    <xf numFmtId="3" fontId="49" fillId="8" borderId="2" xfId="0" applyNumberFormat="1" applyFont="1" applyFill="1" applyBorder="1" applyAlignment="1">
      <alignment horizontal="right" vertical="center"/>
    </xf>
    <xf numFmtId="4" fontId="48" fillId="8" borderId="2" xfId="0" applyNumberFormat="1" applyFont="1" applyFill="1" applyBorder="1" applyAlignment="1">
      <alignment horizontal="right" vertical="center"/>
    </xf>
    <xf numFmtId="3" fontId="49" fillId="5" borderId="2" xfId="0" applyNumberFormat="1" applyFont="1" applyFill="1" applyBorder="1" applyAlignment="1">
      <alignment horizontal="right" vertical="center"/>
    </xf>
    <xf numFmtId="4" fontId="48" fillId="5" borderId="2" xfId="0" applyNumberFormat="1" applyFont="1" applyFill="1" applyBorder="1" applyAlignment="1">
      <alignment horizontal="right" vertical="center"/>
    </xf>
    <xf numFmtId="0" fontId="9" fillId="23" borderId="2" xfId="0" applyFont="1" applyFill="1" applyBorder="1" applyAlignment="1">
      <alignment horizontal="right" vertical="center"/>
    </xf>
    <xf numFmtId="3" fontId="32" fillId="23" borderId="3" xfId="0" applyNumberFormat="1" applyFont="1" applyFill="1" applyBorder="1" applyAlignment="1">
      <alignment horizontal="right" vertical="center"/>
    </xf>
    <xf numFmtId="4" fontId="32" fillId="23" borderId="3" xfId="0" applyNumberFormat="1" applyFont="1" applyFill="1" applyBorder="1" applyAlignment="1">
      <alignment horizontal="right" vertical="center"/>
    </xf>
    <xf numFmtId="0" fontId="50" fillId="22" borderId="2" xfId="0" applyFont="1" applyFill="1" applyBorder="1" applyAlignment="1">
      <alignment horizontal="left" vertical="center" indent="2"/>
    </xf>
    <xf numFmtId="0" fontId="0" fillId="26" borderId="2" xfId="0" applyFill="1" applyBorder="1"/>
    <xf numFmtId="3" fontId="51" fillId="26" borderId="2" xfId="0" applyNumberFormat="1" applyFont="1" applyFill="1" applyBorder="1" applyAlignment="1">
      <alignment horizontal="right" vertical="center"/>
    </xf>
    <xf numFmtId="4" fontId="51" fillId="26" borderId="2" xfId="0" applyNumberFormat="1" applyFont="1" applyFill="1" applyBorder="1" applyAlignment="1">
      <alignment horizontal="right" vertical="center"/>
    </xf>
    <xf numFmtId="3" fontId="45" fillId="27" borderId="2" xfId="0" applyNumberFormat="1" applyFont="1" applyFill="1" applyBorder="1" applyAlignment="1">
      <alignment horizontal="right" vertical="center"/>
    </xf>
    <xf numFmtId="170" fontId="48" fillId="27" borderId="2" xfId="0" applyNumberFormat="1" applyFont="1" applyFill="1" applyBorder="1" applyAlignment="1">
      <alignment horizontal="right" vertical="center"/>
    </xf>
    <xf numFmtId="3" fontId="52" fillId="27" borderId="2" xfId="0" applyNumberFormat="1" applyFont="1" applyFill="1" applyBorder="1" applyAlignment="1">
      <alignment horizontal="center" vertical="center"/>
    </xf>
    <xf numFmtId="0" fontId="53" fillId="27" borderId="2" xfId="0" applyFont="1" applyFill="1" applyBorder="1" applyAlignment="1">
      <alignment horizontal="center" vertical="center"/>
    </xf>
    <xf numFmtId="0" fontId="42" fillId="28" borderId="2" xfId="0" applyFont="1" applyFill="1" applyBorder="1" applyAlignment="1">
      <alignment horizontal="left" vertical="center"/>
    </xf>
    <xf numFmtId="3" fontId="45" fillId="28" borderId="2" xfId="0" applyNumberFormat="1" applyFont="1" applyFill="1" applyBorder="1" applyAlignment="1">
      <alignment horizontal="right" vertical="center"/>
    </xf>
    <xf numFmtId="170" fontId="48" fillId="28" borderId="2" xfId="0" applyNumberFormat="1" applyFont="1" applyFill="1" applyBorder="1" applyAlignment="1">
      <alignment horizontal="right" vertical="center"/>
    </xf>
    <xf numFmtId="3" fontId="52" fillId="28" borderId="2" xfId="0" applyNumberFormat="1" applyFont="1" applyFill="1" applyBorder="1" applyAlignment="1">
      <alignment horizontal="center" vertical="center"/>
    </xf>
    <xf numFmtId="3" fontId="46" fillId="28" borderId="2" xfId="0" applyNumberFormat="1" applyFont="1" applyFill="1" applyBorder="1" applyAlignment="1">
      <alignment horizontal="center" vertical="center"/>
    </xf>
    <xf numFmtId="0" fontId="53" fillId="28" borderId="2" xfId="0" applyFont="1" applyFill="1" applyBorder="1" applyAlignment="1">
      <alignment horizontal="center" vertical="center"/>
    </xf>
    <xf numFmtId="0" fontId="42" fillId="29" borderId="2" xfId="0" applyFont="1" applyFill="1" applyBorder="1" applyAlignment="1">
      <alignment horizontal="left" vertical="center"/>
    </xf>
    <xf numFmtId="3" fontId="45" fillId="29" borderId="2" xfId="0" applyNumberFormat="1" applyFont="1" applyFill="1" applyBorder="1" applyAlignment="1">
      <alignment horizontal="right" vertical="center"/>
    </xf>
    <xf numFmtId="170" fontId="48" fillId="29" borderId="2" xfId="0" applyNumberFormat="1" applyFont="1" applyFill="1" applyBorder="1" applyAlignment="1">
      <alignment horizontal="right" vertical="center"/>
    </xf>
    <xf numFmtId="3" fontId="52" fillId="29" borderId="2" xfId="0" applyNumberFormat="1" applyFont="1" applyFill="1" applyBorder="1" applyAlignment="1">
      <alignment horizontal="center" vertical="center"/>
    </xf>
    <xf numFmtId="3" fontId="46" fillId="29" borderId="2" xfId="0" applyNumberFormat="1" applyFont="1" applyFill="1" applyBorder="1" applyAlignment="1">
      <alignment horizontal="center" vertical="center"/>
    </xf>
    <xf numFmtId="0" fontId="53" fillId="29" borderId="2" xfId="0" applyFont="1" applyFill="1" applyBorder="1" applyAlignment="1">
      <alignment horizontal="center" vertical="center"/>
    </xf>
    <xf numFmtId="0" fontId="42" fillId="30" borderId="2" xfId="0" applyFont="1" applyFill="1" applyBorder="1" applyAlignment="1">
      <alignment horizontal="left" vertical="center"/>
    </xf>
    <xf numFmtId="3" fontId="45" fillId="30" borderId="2" xfId="0" applyNumberFormat="1" applyFont="1" applyFill="1" applyBorder="1" applyAlignment="1">
      <alignment horizontal="right" vertical="center"/>
    </xf>
    <xf numFmtId="170" fontId="48" fillId="30" borderId="2" xfId="0" applyNumberFormat="1" applyFont="1" applyFill="1" applyBorder="1" applyAlignment="1">
      <alignment horizontal="right" vertical="center"/>
    </xf>
    <xf numFmtId="3" fontId="52" fillId="30" borderId="2" xfId="0" applyNumberFormat="1" applyFont="1" applyFill="1" applyBorder="1" applyAlignment="1">
      <alignment horizontal="center" vertical="center"/>
    </xf>
    <xf numFmtId="3" fontId="46" fillId="30" borderId="2" xfId="0" applyNumberFormat="1" applyFont="1" applyFill="1" applyBorder="1" applyAlignment="1">
      <alignment horizontal="center" vertical="center"/>
    </xf>
    <xf numFmtId="0" fontId="53" fillId="30" borderId="2" xfId="0" applyFont="1" applyFill="1" applyBorder="1" applyAlignment="1">
      <alignment horizontal="center" vertical="center"/>
    </xf>
    <xf numFmtId="0" fontId="54" fillId="4" borderId="2" xfId="0" applyFont="1" applyFill="1" applyBorder="1" applyAlignment="1">
      <alignment horizontal="left" vertical="center"/>
    </xf>
    <xf numFmtId="0" fontId="53" fillId="4" borderId="2" xfId="0" applyFont="1" applyFill="1" applyBorder="1" applyAlignment="1">
      <alignment horizontal="left" vertical="center"/>
    </xf>
    <xf numFmtId="0" fontId="26" fillId="21" borderId="2" xfId="0" applyFont="1" applyFill="1" applyBorder="1" applyAlignment="1">
      <alignment horizontal="center" vertical="center"/>
    </xf>
    <xf numFmtId="0" fontId="54" fillId="5" borderId="2" xfId="0" applyFont="1" applyFill="1" applyBorder="1" applyAlignment="1">
      <alignment horizontal="left" vertical="center"/>
    </xf>
    <xf numFmtId="0" fontId="53" fillId="5" borderId="2" xfId="0" applyFont="1" applyFill="1" applyBorder="1" applyAlignment="1">
      <alignment horizontal="left" vertical="center"/>
    </xf>
    <xf numFmtId="0" fontId="55" fillId="8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5" borderId="2" xfId="0" applyFill="1" applyBorder="1"/>
    <xf numFmtId="0" fontId="0" fillId="4" borderId="2" xfId="0" applyFill="1" applyBorder="1"/>
    <xf numFmtId="0" fontId="8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8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3" fillId="14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indent="1"/>
    </xf>
    <xf numFmtId="0" fontId="21" fillId="8" borderId="2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left" vertical="center" indent="1"/>
    </xf>
    <xf numFmtId="0" fontId="28" fillId="17" borderId="1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left" vertical="center" indent="1"/>
    </xf>
    <xf numFmtId="0" fontId="19" fillId="9" borderId="2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22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indent="1"/>
    </xf>
    <xf numFmtId="0" fontId="24" fillId="5" borderId="2" xfId="0" applyFont="1" applyFill="1" applyBorder="1" applyAlignment="1">
      <alignment horizontal="left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indent="1"/>
    </xf>
    <xf numFmtId="0" fontId="24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7B0000"/>
      <rgbColor rgb="FF2D6A0A"/>
      <rgbColor rgb="FF000080"/>
      <rgbColor rgb="FF808000"/>
      <rgbColor rgb="FF800080"/>
      <rgbColor rgb="FF1F6B75"/>
      <rgbColor rgb="FFC7E0B0"/>
      <rgbColor rgb="FF808080"/>
      <rgbColor rgb="FFC0E8C0"/>
      <rgbColor rgb="FF5D4037"/>
      <rgbColor rgb="FFFFF8E1"/>
      <rgbColor rgb="FFEAF5EA"/>
      <rgbColor rgb="FF5C0000"/>
      <rgbColor rgb="FFFF8080"/>
      <rgbColor rgb="FF2F5496"/>
      <rgbColor rgb="FFD0D0D0"/>
      <rgbColor rgb="FF000080"/>
      <rgbColor rgb="FFFF00FF"/>
      <rgbColor rgb="FFEFEFEF"/>
      <rgbColor rgb="FF00FFFF"/>
      <rgbColor rgb="FF800080"/>
      <rgbColor rgb="FFA00000"/>
      <rgbColor rgb="FF008080"/>
      <rgbColor rgb="FF0000FF"/>
      <rgbColor rgb="FF00CCFF"/>
      <rgbColor rgb="FFD9E8F0"/>
      <rgbColor rgb="FFD5F0D5"/>
      <rgbColor rgb="FFFFF3CD"/>
      <rgbColor rgb="FFA8DBA8"/>
      <rgbColor rgb="FFFDECEA"/>
      <rgbColor rgb="FFEAE0F5"/>
      <rgbColor rgb="FFFCE4D6"/>
      <rgbColor rgb="FF3366FF"/>
      <rgbColor rgb="FF33CCCC"/>
      <rgbColor rgb="FF99CC00"/>
      <rgbColor rgb="FFF2F2F2"/>
      <rgbColor rgb="FFFF9900"/>
      <rgbColor rgb="FFFF6600"/>
      <rgbColor rgb="FF595959"/>
      <rgbColor rgb="FFC9A84C"/>
      <rgbColor rgb="FF1F3864"/>
      <rgbColor rgb="FF339966"/>
      <rgbColor rgb="FF145214"/>
      <rgbColor rgb="FF375623"/>
      <rgbColor rgb="FF833C00"/>
      <rgbColor rgb="FF993366"/>
      <rgbColor rgb="FF44286B"/>
      <rgbColor rgb="FF1E4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H1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7" width="18" customWidth="1"/>
    <col min="8" max="8" width="4" customWidth="1"/>
  </cols>
  <sheetData>
    <row r="2" spans="2:8" ht="39.75" customHeight="1" x14ac:dyDescent="0.2">
      <c r="B2" s="199" t="s">
        <v>0</v>
      </c>
      <c r="C2" s="199"/>
      <c r="D2" s="199"/>
      <c r="E2" s="199"/>
      <c r="F2" s="199"/>
      <c r="G2" s="199"/>
      <c r="H2" s="199"/>
    </row>
    <row r="3" spans="2:8" ht="18" customHeight="1" x14ac:dyDescent="0.2">
      <c r="B3" s="200" t="s">
        <v>1</v>
      </c>
      <c r="C3" s="200"/>
      <c r="D3" s="200"/>
      <c r="E3" s="200"/>
      <c r="F3" s="200"/>
      <c r="G3" s="200"/>
      <c r="H3" s="200"/>
    </row>
    <row r="5" spans="2:8" ht="13.5" customHeight="1" x14ac:dyDescent="0.2">
      <c r="B5" s="201" t="s">
        <v>2</v>
      </c>
      <c r="C5" s="201"/>
      <c r="D5" s="201"/>
      <c r="E5" s="201"/>
      <c r="F5" s="201"/>
      <c r="G5" s="201"/>
    </row>
    <row r="6" spans="2:8" ht="15" customHeight="1" x14ac:dyDescent="0.2">
      <c r="B6" s="1" t="s">
        <v>3</v>
      </c>
      <c r="C6" s="202" t="s">
        <v>4</v>
      </c>
      <c r="D6" s="202"/>
      <c r="E6" s="202"/>
      <c r="F6" s="202"/>
      <c r="G6" s="202"/>
    </row>
    <row r="7" spans="2:8" ht="15" customHeight="1" x14ac:dyDescent="0.2">
      <c r="B7" s="2" t="s">
        <v>5</v>
      </c>
      <c r="C7" s="203" t="s">
        <v>6</v>
      </c>
      <c r="D7" s="203"/>
      <c r="E7" s="203"/>
      <c r="F7" s="203"/>
      <c r="G7" s="203"/>
    </row>
    <row r="8" spans="2:8" ht="15" customHeight="1" x14ac:dyDescent="0.2">
      <c r="B8" s="1" t="s">
        <v>7</v>
      </c>
      <c r="C8" s="202" t="s">
        <v>8</v>
      </c>
      <c r="D8" s="202"/>
      <c r="E8" s="202"/>
      <c r="F8" s="202"/>
      <c r="G8" s="202"/>
    </row>
    <row r="9" spans="2:8" ht="15" customHeight="1" x14ac:dyDescent="0.2">
      <c r="B9" s="2" t="s">
        <v>9</v>
      </c>
      <c r="C9" s="203" t="s">
        <v>10</v>
      </c>
      <c r="D9" s="203"/>
      <c r="E9" s="203"/>
      <c r="F9" s="203"/>
      <c r="G9" s="203"/>
    </row>
    <row r="10" spans="2:8" ht="15" customHeight="1" x14ac:dyDescent="0.2">
      <c r="B10" s="1" t="s">
        <v>11</v>
      </c>
      <c r="C10" s="202" t="s">
        <v>12</v>
      </c>
      <c r="D10" s="202"/>
      <c r="E10" s="202"/>
      <c r="F10" s="202"/>
      <c r="G10" s="202"/>
    </row>
    <row r="11" spans="2:8" ht="15" customHeight="1" x14ac:dyDescent="0.2">
      <c r="B11" s="2" t="s">
        <v>13</v>
      </c>
      <c r="C11" s="203" t="s">
        <v>14</v>
      </c>
      <c r="D11" s="203"/>
      <c r="E11" s="203"/>
      <c r="F11" s="203"/>
      <c r="G11" s="203"/>
    </row>
    <row r="13" spans="2:8" ht="7.5" customHeight="1" x14ac:dyDescent="0.2"/>
    <row r="14" spans="2:8" ht="18" customHeight="1" x14ac:dyDescent="0.2">
      <c r="B14" s="204" t="s">
        <v>15</v>
      </c>
      <c r="C14" s="204"/>
      <c r="D14" s="204"/>
      <c r="E14" s="204"/>
      <c r="F14" s="204"/>
      <c r="G14" s="204"/>
    </row>
    <row r="15" spans="2:8" ht="36" customHeight="1" x14ac:dyDescent="0.2">
      <c r="B15" s="205" t="s">
        <v>16</v>
      </c>
      <c r="C15" s="205"/>
      <c r="D15" s="206" t="s">
        <v>17</v>
      </c>
      <c r="E15" s="206"/>
      <c r="F15" s="207" t="s">
        <v>18</v>
      </c>
      <c r="G15" s="207"/>
    </row>
    <row r="16" spans="2:8" ht="36" customHeight="1" x14ac:dyDescent="0.2">
      <c r="B16" s="207" t="s">
        <v>19</v>
      </c>
      <c r="C16" s="207"/>
      <c r="D16" s="208" t="s">
        <v>20</v>
      </c>
      <c r="E16" s="208"/>
      <c r="F16" s="209" t="s">
        <v>21</v>
      </c>
      <c r="G16" s="209"/>
    </row>
  </sheetData>
  <mergeCells count="16">
    <mergeCell ref="B15:C15"/>
    <mergeCell ref="D15:E15"/>
    <mergeCell ref="F15:G15"/>
    <mergeCell ref="B16:C16"/>
    <mergeCell ref="D16:E16"/>
    <mergeCell ref="F16:G16"/>
    <mergeCell ref="C8:G8"/>
    <mergeCell ref="C9:G9"/>
    <mergeCell ref="C10:G10"/>
    <mergeCell ref="C11:G11"/>
    <mergeCell ref="B14:G14"/>
    <mergeCell ref="B2:H2"/>
    <mergeCell ref="B3:H3"/>
    <mergeCell ref="B5:G5"/>
    <mergeCell ref="C6:G6"/>
    <mergeCell ref="C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75"/>
  </sheetPr>
  <dimension ref="B2:H1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22" customWidth="1"/>
    <col min="3" max="7" width="16" customWidth="1"/>
    <col min="8" max="8" width="11" customWidth="1"/>
    <col min="9" max="9" width="4" customWidth="1"/>
  </cols>
  <sheetData>
    <row r="2" spans="2:8" ht="36" customHeight="1" x14ac:dyDescent="0.2">
      <c r="B2" s="210" t="s">
        <v>22</v>
      </c>
      <c r="C2" s="210"/>
      <c r="D2" s="210"/>
      <c r="E2" s="210"/>
      <c r="F2" s="210"/>
      <c r="G2" s="210"/>
      <c r="H2" s="210"/>
    </row>
    <row r="3" spans="2:8" ht="18" customHeight="1" x14ac:dyDescent="0.2"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</row>
    <row r="4" spans="2:8" ht="15.75" customHeight="1" x14ac:dyDescent="0.2">
      <c r="B4" s="4" t="s">
        <v>30</v>
      </c>
      <c r="C4" s="5">
        <v>514204.8</v>
      </c>
      <c r="D4" s="6">
        <v>462784.32</v>
      </c>
      <c r="E4" s="6">
        <v>411363.84000000003</v>
      </c>
      <c r="F4" s="6">
        <v>359943.36</v>
      </c>
      <c r="G4" s="6">
        <v>308522.88</v>
      </c>
      <c r="H4" s="7">
        <f>C4/C11</f>
        <v>5.0315514569723239E-2</v>
      </c>
    </row>
    <row r="5" spans="2:8" ht="15.75" customHeight="1" x14ac:dyDescent="0.2">
      <c r="B5" s="8" t="s">
        <v>31</v>
      </c>
      <c r="C5" s="9">
        <v>478830</v>
      </c>
      <c r="D5" s="10">
        <v>430947</v>
      </c>
      <c r="E5" s="10">
        <v>383064</v>
      </c>
      <c r="F5" s="10">
        <v>335181</v>
      </c>
      <c r="G5" s="10">
        <v>287298</v>
      </c>
      <c r="H5" s="11">
        <f>C5/C11</f>
        <v>4.6854050840094412E-2</v>
      </c>
    </row>
    <row r="6" spans="2:8" ht="15.75" customHeight="1" x14ac:dyDescent="0.2">
      <c r="B6" s="4" t="s">
        <v>32</v>
      </c>
      <c r="C6" s="5">
        <v>111846</v>
      </c>
      <c r="D6" s="6">
        <v>100661.4</v>
      </c>
      <c r="E6" s="6">
        <v>89476.800000000003</v>
      </c>
      <c r="F6" s="6">
        <v>78292.2</v>
      </c>
      <c r="G6" s="6">
        <v>67107.600000000006</v>
      </c>
      <c r="H6" s="7">
        <f>C6/C11</f>
        <v>1.0944256145732722E-2</v>
      </c>
    </row>
    <row r="7" spans="2:8" ht="15.75" customHeight="1" x14ac:dyDescent="0.2">
      <c r="B7" s="8" t="s">
        <v>33</v>
      </c>
      <c r="C7" s="9">
        <v>4186656.5</v>
      </c>
      <c r="D7" s="10">
        <v>3767990.85</v>
      </c>
      <c r="E7" s="10">
        <v>3349325.2</v>
      </c>
      <c r="F7" s="10">
        <v>2930659.55</v>
      </c>
      <c r="G7" s="10">
        <v>2511993.9</v>
      </c>
      <c r="H7" s="11">
        <f>C7/C11</f>
        <v>0.40966901927826521</v>
      </c>
    </row>
    <row r="8" spans="2:8" ht="15.75" customHeight="1" x14ac:dyDescent="0.2">
      <c r="B8" s="4" t="s">
        <v>34</v>
      </c>
      <c r="C8" s="5">
        <v>3574025</v>
      </c>
      <c r="D8" s="6">
        <v>3216622.5</v>
      </c>
      <c r="E8" s="6">
        <v>2859220</v>
      </c>
      <c r="F8" s="6">
        <v>2501817.5</v>
      </c>
      <c r="G8" s="6">
        <v>2144415</v>
      </c>
      <c r="H8" s="7">
        <f>C8/C11</f>
        <v>0.34972234207081515</v>
      </c>
    </row>
    <row r="9" spans="2:8" ht="15.75" customHeight="1" x14ac:dyDescent="0.2">
      <c r="B9" s="8" t="s">
        <v>35</v>
      </c>
      <c r="C9" s="9">
        <v>751275</v>
      </c>
      <c r="D9" s="10">
        <v>676147.5</v>
      </c>
      <c r="E9" s="10">
        <v>601020</v>
      </c>
      <c r="F9" s="10">
        <v>525892.5</v>
      </c>
      <c r="G9" s="10">
        <v>450765</v>
      </c>
      <c r="H9" s="11">
        <f>C9/C11</f>
        <v>7.3513098688244113E-2</v>
      </c>
    </row>
    <row r="10" spans="2:8" ht="15.75" customHeight="1" x14ac:dyDescent="0.2">
      <c r="B10" s="4" t="s">
        <v>36</v>
      </c>
      <c r="C10" s="5">
        <v>602770</v>
      </c>
      <c r="D10" s="6">
        <v>542493</v>
      </c>
      <c r="E10" s="6">
        <v>482216</v>
      </c>
      <c r="F10" s="6">
        <v>421939</v>
      </c>
      <c r="G10" s="6">
        <v>361662</v>
      </c>
      <c r="H10" s="7">
        <f>C10/C11</f>
        <v>5.8981718407125093E-2</v>
      </c>
    </row>
    <row r="11" spans="2:8" ht="18" customHeight="1" x14ac:dyDescent="0.2">
      <c r="B11" s="12" t="s">
        <v>37</v>
      </c>
      <c r="C11" s="13">
        <v>10219607.300000001</v>
      </c>
      <c r="D11" s="13">
        <v>9197646.5700000003</v>
      </c>
      <c r="E11" s="13">
        <v>8175685.8399999999</v>
      </c>
      <c r="F11" s="13">
        <v>7153725.1100000003</v>
      </c>
      <c r="G11" s="13">
        <v>6131764.3799999999</v>
      </c>
      <c r="H11" s="14" t="s">
        <v>38</v>
      </c>
    </row>
    <row r="12" spans="2:8" ht="15.75" customHeight="1" x14ac:dyDescent="0.2">
      <c r="B12" s="15" t="s">
        <v>39</v>
      </c>
      <c r="C12" s="16" t="s">
        <v>40</v>
      </c>
      <c r="D12" s="16">
        <f>C11-D11</f>
        <v>1021960.7300000004</v>
      </c>
      <c r="E12" s="16">
        <f>C11-E11</f>
        <v>2043921.4600000009</v>
      </c>
      <c r="F12" s="16">
        <f>C11-F11</f>
        <v>3065882.1900000004</v>
      </c>
      <c r="G12" s="16">
        <f>C11-G11</f>
        <v>4087842.9200000009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0000"/>
  </sheetPr>
  <dimension ref="B2:H1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22" customWidth="1"/>
    <col min="3" max="7" width="16" customWidth="1"/>
    <col min="8" max="8" width="11" customWidth="1"/>
    <col min="9" max="9" width="4" customWidth="1"/>
  </cols>
  <sheetData>
    <row r="2" spans="2:8" ht="36" customHeight="1" x14ac:dyDescent="0.2">
      <c r="B2" s="211" t="s">
        <v>41</v>
      </c>
      <c r="C2" s="211"/>
      <c r="D2" s="211"/>
      <c r="E2" s="211"/>
      <c r="F2" s="211"/>
      <c r="G2" s="211"/>
      <c r="H2" s="211"/>
    </row>
    <row r="3" spans="2:8" ht="18" customHeight="1" x14ac:dyDescent="0.2"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29</v>
      </c>
    </row>
    <row r="4" spans="2:8" ht="15.75" customHeight="1" x14ac:dyDescent="0.2">
      <c r="B4" s="18" t="s">
        <v>30</v>
      </c>
      <c r="C4" s="19">
        <v>1542614.4</v>
      </c>
      <c r="D4" s="20">
        <v>1388352.96</v>
      </c>
      <c r="E4" s="20">
        <v>1234091.52</v>
      </c>
      <c r="F4" s="20">
        <v>1079830.08</v>
      </c>
      <c r="G4" s="20">
        <v>925568.64</v>
      </c>
      <c r="H4" s="21">
        <f>C4/C11</f>
        <v>5.0315514569723239E-2</v>
      </c>
    </row>
    <row r="5" spans="2:8" ht="15.75" customHeight="1" x14ac:dyDescent="0.2">
      <c r="B5" s="8" t="s">
        <v>31</v>
      </c>
      <c r="C5" s="22">
        <v>1436490</v>
      </c>
      <c r="D5" s="23">
        <v>1292841</v>
      </c>
      <c r="E5" s="23">
        <v>1149192</v>
      </c>
      <c r="F5" s="23">
        <v>1005543</v>
      </c>
      <c r="G5" s="23">
        <v>861894</v>
      </c>
      <c r="H5" s="11">
        <f>C5/C11</f>
        <v>4.6854050840094419E-2</v>
      </c>
    </row>
    <row r="6" spans="2:8" ht="15.75" customHeight="1" x14ac:dyDescent="0.2">
      <c r="B6" s="18" t="s">
        <v>32</v>
      </c>
      <c r="C6" s="19">
        <v>335538</v>
      </c>
      <c r="D6" s="20">
        <v>301984.2</v>
      </c>
      <c r="E6" s="20">
        <v>268430.40000000002</v>
      </c>
      <c r="F6" s="20">
        <v>234876.6</v>
      </c>
      <c r="G6" s="20">
        <v>201322.8</v>
      </c>
      <c r="H6" s="21">
        <f>C6/C11</f>
        <v>1.0944256145732724E-2</v>
      </c>
    </row>
    <row r="7" spans="2:8" ht="15.75" customHeight="1" x14ac:dyDescent="0.2">
      <c r="B7" s="8" t="s">
        <v>33</v>
      </c>
      <c r="C7" s="22">
        <v>12559969.5</v>
      </c>
      <c r="D7" s="23">
        <v>11303972.550000001</v>
      </c>
      <c r="E7" s="23">
        <v>10047975.6</v>
      </c>
      <c r="F7" s="23">
        <v>8791978.6500000004</v>
      </c>
      <c r="G7" s="23">
        <v>7535981.7000000002</v>
      </c>
      <c r="H7" s="11">
        <f>C7/C11</f>
        <v>0.40966901927826527</v>
      </c>
    </row>
    <row r="8" spans="2:8" ht="15.75" customHeight="1" x14ac:dyDescent="0.2">
      <c r="B8" s="18" t="s">
        <v>34</v>
      </c>
      <c r="C8" s="19">
        <v>10722075</v>
      </c>
      <c r="D8" s="20">
        <v>9649867.5</v>
      </c>
      <c r="E8" s="20">
        <v>8577660</v>
      </c>
      <c r="F8" s="20">
        <v>7505452.5</v>
      </c>
      <c r="G8" s="20">
        <v>6433245</v>
      </c>
      <c r="H8" s="21">
        <f>C8/C11</f>
        <v>0.34972234207081521</v>
      </c>
    </row>
    <row r="9" spans="2:8" ht="15.75" customHeight="1" x14ac:dyDescent="0.2">
      <c r="B9" s="8" t="s">
        <v>35</v>
      </c>
      <c r="C9" s="22">
        <v>2253825</v>
      </c>
      <c r="D9" s="23">
        <v>2028442.5</v>
      </c>
      <c r="E9" s="23">
        <v>1803060</v>
      </c>
      <c r="F9" s="23">
        <v>1577677.5</v>
      </c>
      <c r="G9" s="23">
        <v>1352295</v>
      </c>
      <c r="H9" s="11">
        <f>C9/C11</f>
        <v>7.3513098688244113E-2</v>
      </c>
    </row>
    <row r="10" spans="2:8" ht="15.75" customHeight="1" x14ac:dyDescent="0.2">
      <c r="B10" s="18" t="s">
        <v>36</v>
      </c>
      <c r="C10" s="19">
        <v>1808310</v>
      </c>
      <c r="D10" s="20">
        <v>1627479</v>
      </c>
      <c r="E10" s="20">
        <v>1446648</v>
      </c>
      <c r="F10" s="20">
        <v>1265817</v>
      </c>
      <c r="G10" s="20">
        <v>1084986</v>
      </c>
      <c r="H10" s="21">
        <f>C10/C11</f>
        <v>5.89817184071251E-2</v>
      </c>
    </row>
    <row r="11" spans="2:8" ht="18" customHeight="1" x14ac:dyDescent="0.2">
      <c r="B11" s="24" t="s">
        <v>37</v>
      </c>
      <c r="C11" s="25">
        <v>30658821.899999999</v>
      </c>
      <c r="D11" s="25">
        <v>27592939.710000001</v>
      </c>
      <c r="E11" s="25">
        <v>24527057.52</v>
      </c>
      <c r="F11" s="25">
        <v>21461175.329999998</v>
      </c>
      <c r="G11" s="25">
        <v>18395293.140000001</v>
      </c>
      <c r="H11" s="26" t="s">
        <v>38</v>
      </c>
    </row>
    <row r="12" spans="2:8" ht="15.75" customHeight="1" x14ac:dyDescent="0.2">
      <c r="B12" s="15" t="s">
        <v>39</v>
      </c>
      <c r="C12" s="16" t="s">
        <v>40</v>
      </c>
      <c r="D12" s="16">
        <f>C11-D11</f>
        <v>3065882.1899999976</v>
      </c>
      <c r="E12" s="16">
        <f>C11-E11</f>
        <v>6131764.379999999</v>
      </c>
      <c r="F12" s="16">
        <f>C11-F11</f>
        <v>9197646.5700000003</v>
      </c>
      <c r="G12" s="16">
        <f>C11-G11</f>
        <v>12263528.759999998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</sheetPr>
  <dimension ref="B2:H21"/>
  <sheetViews>
    <sheetView topLeftCell="A10" zoomScaleNormal="100" workbookViewId="0">
      <selection activeCell="B16" sqref="B16:G16"/>
    </sheetView>
  </sheetViews>
  <sheetFormatPr baseColWidth="10" defaultColWidth="8.6640625" defaultRowHeight="15" x14ac:dyDescent="0.2"/>
  <cols>
    <col min="1" max="1" width="2" customWidth="1"/>
    <col min="2" max="2" width="32" customWidth="1"/>
    <col min="3" max="4" width="12" customWidth="1"/>
    <col min="5" max="8" width="14" customWidth="1"/>
    <col min="9" max="9" width="4" customWidth="1"/>
  </cols>
  <sheetData>
    <row r="2" spans="2:8" ht="36" customHeight="1" x14ac:dyDescent="0.2">
      <c r="B2" s="214" t="s">
        <v>42</v>
      </c>
      <c r="C2" s="214"/>
      <c r="D2" s="214"/>
      <c r="E2" s="214"/>
      <c r="F2" s="214"/>
      <c r="G2" s="214"/>
      <c r="H2" s="214"/>
    </row>
    <row r="3" spans="2:8" ht="18" customHeight="1" x14ac:dyDescent="0.2">
      <c r="B3" s="215" t="s">
        <v>43</v>
      </c>
      <c r="C3" s="215"/>
      <c r="D3" s="215"/>
      <c r="E3" s="215"/>
      <c r="F3" s="215"/>
      <c r="G3" s="215"/>
      <c r="H3" s="215"/>
    </row>
    <row r="4" spans="2:8" ht="18" customHeight="1" x14ac:dyDescent="0.2">
      <c r="B4" s="27" t="s">
        <v>44</v>
      </c>
      <c r="C4" s="27" t="s">
        <v>45</v>
      </c>
      <c r="D4" s="27" t="s">
        <v>46</v>
      </c>
      <c r="E4" s="27" t="s">
        <v>47</v>
      </c>
      <c r="F4" s="27" t="s">
        <v>48</v>
      </c>
      <c r="G4" s="27" t="s">
        <v>49</v>
      </c>
      <c r="H4" s="27" t="s">
        <v>50</v>
      </c>
    </row>
    <row r="5" spans="2:8" ht="21.75" customHeight="1" x14ac:dyDescent="0.2">
      <c r="B5" s="4" t="s">
        <v>51</v>
      </c>
      <c r="C5" s="28">
        <v>4</v>
      </c>
      <c r="D5" s="29">
        <v>3500</v>
      </c>
      <c r="E5" s="30">
        <f t="shared" ref="E5:E13" si="0">C5*D5*12</f>
        <v>168000</v>
      </c>
      <c r="F5" s="30">
        <f t="shared" ref="F5:F13" si="1">E5*0.15</f>
        <v>25200</v>
      </c>
      <c r="G5" s="31">
        <f t="shared" ref="G5:G13" si="2">E5+F5</f>
        <v>193200</v>
      </c>
      <c r="H5" s="32" t="s">
        <v>52</v>
      </c>
    </row>
    <row r="6" spans="2:8" ht="21.75" customHeight="1" x14ac:dyDescent="0.2">
      <c r="B6" s="8" t="s">
        <v>53</v>
      </c>
      <c r="C6" s="33">
        <v>2</v>
      </c>
      <c r="D6" s="34">
        <v>2800</v>
      </c>
      <c r="E6" s="35">
        <f t="shared" si="0"/>
        <v>67200</v>
      </c>
      <c r="F6" s="35">
        <f t="shared" si="1"/>
        <v>10080</v>
      </c>
      <c r="G6" s="36">
        <f t="shared" si="2"/>
        <v>77280</v>
      </c>
      <c r="H6" s="37" t="s">
        <v>54</v>
      </c>
    </row>
    <row r="7" spans="2:8" ht="21.75" customHeight="1" x14ac:dyDescent="0.2">
      <c r="B7" s="4" t="s">
        <v>55</v>
      </c>
      <c r="C7" s="28">
        <v>1</v>
      </c>
      <c r="D7" s="29">
        <v>4500</v>
      </c>
      <c r="E7" s="30">
        <f t="shared" si="0"/>
        <v>54000</v>
      </c>
      <c r="F7" s="30">
        <f t="shared" si="1"/>
        <v>8100</v>
      </c>
      <c r="G7" s="31">
        <f t="shared" si="2"/>
        <v>62100</v>
      </c>
      <c r="H7" s="32" t="s">
        <v>56</v>
      </c>
    </row>
    <row r="8" spans="2:8" ht="21.75" customHeight="1" x14ac:dyDescent="0.2">
      <c r="B8" s="8" t="s">
        <v>57</v>
      </c>
      <c r="C8" s="33">
        <v>2</v>
      </c>
      <c r="D8" s="34">
        <v>3200</v>
      </c>
      <c r="E8" s="35">
        <f t="shared" si="0"/>
        <v>76800</v>
      </c>
      <c r="F8" s="35">
        <f t="shared" si="1"/>
        <v>11520</v>
      </c>
      <c r="G8" s="36">
        <f t="shared" si="2"/>
        <v>88320</v>
      </c>
      <c r="H8" s="37" t="s">
        <v>58</v>
      </c>
    </row>
    <row r="9" spans="2:8" ht="21.75" customHeight="1" x14ac:dyDescent="0.2">
      <c r="B9" s="4" t="s">
        <v>59</v>
      </c>
      <c r="C9" s="28">
        <v>2</v>
      </c>
      <c r="D9" s="29">
        <v>3000</v>
      </c>
      <c r="E9" s="30">
        <f t="shared" si="0"/>
        <v>72000</v>
      </c>
      <c r="F9" s="30">
        <f t="shared" si="1"/>
        <v>10800</v>
      </c>
      <c r="G9" s="31">
        <f t="shared" si="2"/>
        <v>82800</v>
      </c>
      <c r="H9" s="32" t="s">
        <v>60</v>
      </c>
    </row>
    <row r="10" spans="2:8" ht="21.75" customHeight="1" x14ac:dyDescent="0.2">
      <c r="B10" s="8" t="s">
        <v>61</v>
      </c>
      <c r="C10" s="33">
        <v>2</v>
      </c>
      <c r="D10" s="34">
        <v>3200</v>
      </c>
      <c r="E10" s="35">
        <f t="shared" si="0"/>
        <v>76800</v>
      </c>
      <c r="F10" s="35">
        <f t="shared" si="1"/>
        <v>11520</v>
      </c>
      <c r="G10" s="36">
        <f t="shared" si="2"/>
        <v>88320</v>
      </c>
      <c r="H10" s="37" t="s">
        <v>62</v>
      </c>
    </row>
    <row r="11" spans="2:8" ht="21.75" customHeight="1" x14ac:dyDescent="0.2">
      <c r="B11" s="4" t="s">
        <v>63</v>
      </c>
      <c r="C11" s="28">
        <v>1</v>
      </c>
      <c r="D11" s="29">
        <v>6000</v>
      </c>
      <c r="E11" s="30">
        <f t="shared" si="0"/>
        <v>72000</v>
      </c>
      <c r="F11" s="30">
        <f t="shared" si="1"/>
        <v>10800</v>
      </c>
      <c r="G11" s="31">
        <f t="shared" si="2"/>
        <v>82800</v>
      </c>
      <c r="H11" s="32" t="s">
        <v>64</v>
      </c>
    </row>
    <row r="12" spans="2:8" ht="21.75" customHeight="1" x14ac:dyDescent="0.2">
      <c r="B12" s="8" t="s">
        <v>65</v>
      </c>
      <c r="C12" s="33">
        <v>2</v>
      </c>
      <c r="D12" s="34">
        <v>2200</v>
      </c>
      <c r="E12" s="35">
        <f t="shared" si="0"/>
        <v>52800</v>
      </c>
      <c r="F12" s="35">
        <f t="shared" si="1"/>
        <v>7920</v>
      </c>
      <c r="G12" s="36">
        <f t="shared" si="2"/>
        <v>60720</v>
      </c>
      <c r="H12" s="37" t="s">
        <v>66</v>
      </c>
    </row>
    <row r="13" spans="2:8" ht="21.75" customHeight="1" x14ac:dyDescent="0.2">
      <c r="B13" s="4" t="s">
        <v>67</v>
      </c>
      <c r="C13" s="28">
        <v>2</v>
      </c>
      <c r="D13" s="29">
        <v>2000</v>
      </c>
      <c r="E13" s="30">
        <f t="shared" si="0"/>
        <v>48000</v>
      </c>
      <c r="F13" s="30">
        <f t="shared" si="1"/>
        <v>7200</v>
      </c>
      <c r="G13" s="31">
        <f t="shared" si="2"/>
        <v>55200</v>
      </c>
      <c r="H13" s="32" t="s">
        <v>68</v>
      </c>
    </row>
    <row r="14" spans="2:8" ht="19.5" customHeight="1" x14ac:dyDescent="0.2">
      <c r="B14" s="38" t="s">
        <v>69</v>
      </c>
      <c r="C14" s="39">
        <f>SUM(C5:C13)</f>
        <v>18</v>
      </c>
      <c r="D14" s="27"/>
      <c r="E14" s="40">
        <f>SUM(E5:E13)</f>
        <v>687600</v>
      </c>
      <c r="F14" s="40">
        <f>SUM(F5:F13)</f>
        <v>103140</v>
      </c>
      <c r="G14" s="40">
        <f>SUM(G5:G13)</f>
        <v>790740</v>
      </c>
      <c r="H14" s="27"/>
    </row>
    <row r="16" spans="2:8" ht="15.75" customHeight="1" x14ac:dyDescent="0.2">
      <c r="B16" s="216" t="s">
        <v>70</v>
      </c>
      <c r="C16" s="216"/>
      <c r="D16" s="216"/>
      <c r="E16" s="216"/>
      <c r="F16" s="216"/>
      <c r="G16" s="216"/>
    </row>
    <row r="17" spans="2:7" ht="15.75" customHeight="1" x14ac:dyDescent="0.2">
      <c r="B17" s="8" t="s">
        <v>71</v>
      </c>
      <c r="C17" s="212"/>
      <c r="D17" s="212"/>
      <c r="E17" s="212"/>
      <c r="F17" s="212"/>
      <c r="G17" s="198">
        <f>C14</f>
        <v>18</v>
      </c>
    </row>
    <row r="18" spans="2:7" ht="15.75" customHeight="1" x14ac:dyDescent="0.2">
      <c r="B18" s="4" t="s">
        <v>72</v>
      </c>
      <c r="C18" s="213"/>
      <c r="D18" s="213"/>
      <c r="E18" s="213"/>
      <c r="F18" s="213"/>
      <c r="G18" s="42">
        <f>G14/12</f>
        <v>65895</v>
      </c>
    </row>
    <row r="19" spans="2:7" ht="15.75" customHeight="1" x14ac:dyDescent="0.2">
      <c r="B19" s="8" t="s">
        <v>73</v>
      </c>
      <c r="C19" s="212"/>
      <c r="D19" s="212"/>
      <c r="E19" s="212"/>
      <c r="F19" s="212"/>
      <c r="G19" s="41">
        <f>E14</f>
        <v>687600</v>
      </c>
    </row>
    <row r="20" spans="2:7" ht="15.75" customHeight="1" x14ac:dyDescent="0.2">
      <c r="B20" s="4" t="s">
        <v>74</v>
      </c>
      <c r="C20" s="213"/>
      <c r="D20" s="213"/>
      <c r="E20" s="213"/>
      <c r="F20" s="213"/>
      <c r="G20" s="42">
        <f>F14</f>
        <v>103140</v>
      </c>
    </row>
    <row r="21" spans="2:7" ht="15.75" customHeight="1" x14ac:dyDescent="0.2">
      <c r="B21" s="8" t="s">
        <v>75</v>
      </c>
      <c r="C21" s="212"/>
      <c r="D21" s="212"/>
      <c r="E21" s="212"/>
      <c r="F21" s="212"/>
      <c r="G21" s="41">
        <f>G14</f>
        <v>790740</v>
      </c>
    </row>
  </sheetData>
  <mergeCells count="8">
    <mergeCell ref="C19:F19"/>
    <mergeCell ref="C20:F20"/>
    <mergeCell ref="C21:F21"/>
    <mergeCell ref="B2:H2"/>
    <mergeCell ref="B3:H3"/>
    <mergeCell ref="B16:G16"/>
    <mergeCell ref="C17:F17"/>
    <mergeCell ref="C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286B"/>
  </sheetPr>
  <dimension ref="B2:F4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36" customWidth="1"/>
    <col min="3" max="6" width="14" customWidth="1"/>
    <col min="7" max="7" width="4" customWidth="1"/>
  </cols>
  <sheetData>
    <row r="2" spans="2:6" ht="36" customHeight="1" x14ac:dyDescent="0.2">
      <c r="B2" s="217" t="s">
        <v>76</v>
      </c>
      <c r="C2" s="217"/>
      <c r="D2" s="217"/>
      <c r="E2" s="217"/>
      <c r="F2" s="217"/>
    </row>
    <row r="3" spans="2:6" ht="18" customHeight="1" x14ac:dyDescent="0.2">
      <c r="B3" s="218" t="s">
        <v>77</v>
      </c>
      <c r="C3" s="218"/>
      <c r="D3" s="218"/>
      <c r="E3" s="218"/>
      <c r="F3" s="218"/>
    </row>
    <row r="4" spans="2:6" ht="18" customHeight="1" x14ac:dyDescent="0.2">
      <c r="B4" s="219" t="s">
        <v>78</v>
      </c>
      <c r="C4" s="219"/>
      <c r="D4" s="219"/>
      <c r="E4" s="219"/>
      <c r="F4" s="219"/>
    </row>
    <row r="5" spans="2:6" ht="18" customHeight="1" x14ac:dyDescent="0.2">
      <c r="B5" s="220" t="s">
        <v>79</v>
      </c>
      <c r="C5" s="220"/>
      <c r="D5" s="220"/>
      <c r="E5" s="220"/>
      <c r="F5" s="220"/>
    </row>
    <row r="6" spans="2:6" ht="21.75" customHeight="1" x14ac:dyDescent="0.2">
      <c r="B6" s="221" t="s">
        <v>80</v>
      </c>
      <c r="C6" s="221"/>
      <c r="D6" s="221"/>
      <c r="E6" s="221"/>
      <c r="F6" s="221"/>
    </row>
    <row r="7" spans="2:6" ht="21.75" customHeight="1" x14ac:dyDescent="0.2">
      <c r="B7" s="44" t="s">
        <v>81</v>
      </c>
      <c r="C7" s="45" t="s">
        <v>82</v>
      </c>
      <c r="D7" s="46" t="s">
        <v>83</v>
      </c>
      <c r="E7" s="47">
        <v>8000</v>
      </c>
      <c r="F7" s="48" t="s">
        <v>84</v>
      </c>
    </row>
    <row r="8" spans="2:6" ht="21.75" customHeight="1" x14ac:dyDescent="0.2">
      <c r="B8" s="221" t="s">
        <v>85</v>
      </c>
      <c r="C8" s="221"/>
      <c r="D8" s="221"/>
      <c r="E8" s="221"/>
      <c r="F8" s="221"/>
    </row>
    <row r="9" spans="2:6" ht="18" customHeight="1" x14ac:dyDescent="0.2">
      <c r="B9" s="222" t="s">
        <v>86</v>
      </c>
      <c r="C9" s="222"/>
      <c r="D9" s="222"/>
      <c r="E9" s="222"/>
      <c r="F9" s="222"/>
    </row>
    <row r="10" spans="2:6" ht="21.75" customHeight="1" x14ac:dyDescent="0.2">
      <c r="B10" s="223" t="s">
        <v>87</v>
      </c>
      <c r="C10" s="223"/>
      <c r="D10" s="223"/>
      <c r="E10" s="223"/>
      <c r="F10" s="223"/>
    </row>
    <row r="11" spans="2:6" ht="21.75" customHeight="1" x14ac:dyDescent="0.2">
      <c r="B11" s="49" t="s">
        <v>88</v>
      </c>
      <c r="C11" s="50" t="s">
        <v>89</v>
      </c>
      <c r="D11" s="51" t="s">
        <v>90</v>
      </c>
      <c r="E11" s="52">
        <v>40000</v>
      </c>
      <c r="F11" s="53" t="s">
        <v>91</v>
      </c>
    </row>
    <row r="12" spans="2:6" ht="18" customHeight="1" x14ac:dyDescent="0.2">
      <c r="B12" s="224" t="s">
        <v>92</v>
      </c>
      <c r="C12" s="224"/>
      <c r="D12" s="224"/>
      <c r="E12" s="224"/>
      <c r="F12" s="224"/>
    </row>
    <row r="13" spans="2:6" ht="21.75" customHeight="1" x14ac:dyDescent="0.2">
      <c r="B13" s="54" t="s">
        <v>93</v>
      </c>
      <c r="C13" s="55" t="s">
        <v>94</v>
      </c>
      <c r="D13" s="56" t="s">
        <v>90</v>
      </c>
      <c r="E13" s="57">
        <v>120000</v>
      </c>
      <c r="F13" s="58" t="s">
        <v>95</v>
      </c>
    </row>
    <row r="14" spans="2:6" ht="18" customHeight="1" x14ac:dyDescent="0.2">
      <c r="B14" s="222" t="s">
        <v>86</v>
      </c>
      <c r="C14" s="222"/>
      <c r="D14" s="222"/>
      <c r="E14" s="222"/>
      <c r="F14" s="222"/>
    </row>
    <row r="15" spans="2:6" ht="21.75" customHeight="1" x14ac:dyDescent="0.2">
      <c r="B15" s="49" t="s">
        <v>96</v>
      </c>
      <c r="C15" s="50" t="s">
        <v>89</v>
      </c>
      <c r="D15" s="51" t="s">
        <v>90</v>
      </c>
      <c r="E15" s="52">
        <v>20000</v>
      </c>
      <c r="F15" s="53" t="s">
        <v>97</v>
      </c>
    </row>
    <row r="16" spans="2:6" ht="21.75" customHeight="1" x14ac:dyDescent="0.2">
      <c r="B16" s="223" t="s">
        <v>98</v>
      </c>
      <c r="C16" s="223"/>
      <c r="D16" s="223"/>
      <c r="E16" s="223"/>
      <c r="F16" s="223"/>
    </row>
    <row r="17" spans="2:6" ht="18" customHeight="1" x14ac:dyDescent="0.2">
      <c r="B17" s="225" t="s">
        <v>99</v>
      </c>
      <c r="C17" s="225"/>
      <c r="D17" s="225"/>
      <c r="E17" s="225"/>
      <c r="F17" s="225"/>
    </row>
    <row r="18" spans="2:6" ht="21.75" customHeight="1" x14ac:dyDescent="0.2">
      <c r="B18" s="59" t="s">
        <v>100</v>
      </c>
      <c r="C18" s="60" t="s">
        <v>101</v>
      </c>
      <c r="D18" s="61" t="s">
        <v>102</v>
      </c>
      <c r="E18" s="62">
        <v>60000</v>
      </c>
      <c r="F18" s="63" t="s">
        <v>103</v>
      </c>
    </row>
    <row r="19" spans="2:6" ht="21.75" customHeight="1" x14ac:dyDescent="0.2">
      <c r="B19" s="59" t="s">
        <v>104</v>
      </c>
      <c r="C19" s="60" t="s">
        <v>101</v>
      </c>
      <c r="D19" s="61" t="s">
        <v>102</v>
      </c>
      <c r="E19" s="62">
        <v>35000</v>
      </c>
      <c r="F19" s="63" t="s">
        <v>105</v>
      </c>
    </row>
    <row r="20" spans="2:6" ht="21.75" customHeight="1" x14ac:dyDescent="0.2">
      <c r="B20" s="59" t="s">
        <v>106</v>
      </c>
      <c r="C20" s="60" t="s">
        <v>101</v>
      </c>
      <c r="D20" s="61" t="s">
        <v>102</v>
      </c>
      <c r="E20" s="62">
        <v>20000</v>
      </c>
      <c r="F20" s="63" t="s">
        <v>107</v>
      </c>
    </row>
    <row r="21" spans="2:6" ht="21.75" customHeight="1" x14ac:dyDescent="0.2">
      <c r="B21" s="59" t="s">
        <v>108</v>
      </c>
      <c r="C21" s="60" t="s">
        <v>101</v>
      </c>
      <c r="D21" s="61" t="s">
        <v>109</v>
      </c>
      <c r="E21" s="62">
        <v>15000</v>
      </c>
      <c r="F21" s="63" t="s">
        <v>110</v>
      </c>
    </row>
    <row r="22" spans="2:6" ht="21.75" customHeight="1" x14ac:dyDescent="0.2">
      <c r="B22" s="59" t="s">
        <v>111</v>
      </c>
      <c r="C22" s="60" t="s">
        <v>101</v>
      </c>
      <c r="D22" s="61" t="s">
        <v>112</v>
      </c>
      <c r="E22" s="62">
        <v>30000</v>
      </c>
      <c r="F22" s="63" t="s">
        <v>113</v>
      </c>
    </row>
    <row r="23" spans="2:6" ht="21.75" customHeight="1" x14ac:dyDescent="0.2">
      <c r="B23" s="59" t="s">
        <v>114</v>
      </c>
      <c r="C23" s="60" t="s">
        <v>101</v>
      </c>
      <c r="D23" s="61" t="s">
        <v>115</v>
      </c>
      <c r="E23" s="62">
        <v>45000</v>
      </c>
      <c r="F23" s="63" t="s">
        <v>116</v>
      </c>
    </row>
    <row r="24" spans="2:6" ht="18" customHeight="1" x14ac:dyDescent="0.2">
      <c r="B24" s="226" t="s">
        <v>117</v>
      </c>
      <c r="C24" s="226"/>
      <c r="D24" s="226"/>
      <c r="E24" s="226"/>
      <c r="F24" s="226"/>
    </row>
    <row r="25" spans="2:6" ht="21.75" customHeight="1" x14ac:dyDescent="0.2">
      <c r="B25" s="64" t="s">
        <v>118</v>
      </c>
      <c r="C25" s="65" t="s">
        <v>119</v>
      </c>
      <c r="D25" s="66" t="s">
        <v>109</v>
      </c>
      <c r="E25" s="67">
        <v>0</v>
      </c>
      <c r="F25" s="68" t="s">
        <v>120</v>
      </c>
    </row>
    <row r="26" spans="2:6" ht="21.75" customHeight="1" x14ac:dyDescent="0.2">
      <c r="B26" s="64" t="s">
        <v>121</v>
      </c>
      <c r="C26" s="65" t="s">
        <v>119</v>
      </c>
      <c r="D26" s="66" t="s">
        <v>109</v>
      </c>
      <c r="E26" s="67">
        <v>0</v>
      </c>
      <c r="F26" s="68" t="s">
        <v>122</v>
      </c>
    </row>
    <row r="27" spans="2:6" ht="21.75" customHeight="1" x14ac:dyDescent="0.2">
      <c r="B27" s="64" t="s">
        <v>123</v>
      </c>
      <c r="C27" s="65" t="s">
        <v>119</v>
      </c>
      <c r="D27" s="66" t="s">
        <v>124</v>
      </c>
      <c r="E27" s="67">
        <v>0</v>
      </c>
      <c r="F27" s="68" t="s">
        <v>125</v>
      </c>
    </row>
    <row r="28" spans="2:6" ht="21.75" customHeight="1" x14ac:dyDescent="0.2">
      <c r="B28" s="64" t="s">
        <v>126</v>
      </c>
      <c r="C28" s="65" t="s">
        <v>119</v>
      </c>
      <c r="D28" s="66" t="s">
        <v>124</v>
      </c>
      <c r="E28" s="67">
        <v>0</v>
      </c>
      <c r="F28" s="68" t="s">
        <v>127</v>
      </c>
    </row>
    <row r="29" spans="2:6" ht="21.75" customHeight="1" x14ac:dyDescent="0.2">
      <c r="B29" s="64" t="s">
        <v>128</v>
      </c>
      <c r="C29" s="65" t="s">
        <v>119</v>
      </c>
      <c r="D29" s="66" t="s">
        <v>124</v>
      </c>
      <c r="E29" s="67">
        <v>0</v>
      </c>
      <c r="F29" s="68" t="s">
        <v>129</v>
      </c>
    </row>
    <row r="30" spans="2:6" ht="21.75" customHeight="1" x14ac:dyDescent="0.2">
      <c r="B30" s="64" t="s">
        <v>130</v>
      </c>
      <c r="C30" s="65" t="s">
        <v>119</v>
      </c>
      <c r="D30" s="66" t="s">
        <v>124</v>
      </c>
      <c r="E30" s="67">
        <v>0</v>
      </c>
      <c r="F30" s="68" t="s">
        <v>131</v>
      </c>
    </row>
    <row r="31" spans="2:6" ht="21.75" customHeight="1" x14ac:dyDescent="0.2">
      <c r="B31" s="64" t="s">
        <v>132</v>
      </c>
      <c r="C31" s="65" t="s">
        <v>119</v>
      </c>
      <c r="D31" s="66" t="s">
        <v>133</v>
      </c>
      <c r="E31" s="67">
        <v>0</v>
      </c>
      <c r="F31" s="68" t="s">
        <v>134</v>
      </c>
    </row>
    <row r="32" spans="2:6" ht="18" customHeight="1" x14ac:dyDescent="0.2">
      <c r="B32" s="224" t="s">
        <v>92</v>
      </c>
      <c r="C32" s="224"/>
      <c r="D32" s="224"/>
      <c r="E32" s="224"/>
      <c r="F32" s="224"/>
    </row>
    <row r="33" spans="2:6" ht="21.75" customHeight="1" x14ac:dyDescent="0.2">
      <c r="B33" s="54" t="s">
        <v>135</v>
      </c>
      <c r="C33" s="55" t="s">
        <v>94</v>
      </c>
      <c r="D33" s="56" t="s">
        <v>136</v>
      </c>
      <c r="E33" s="57">
        <v>60000</v>
      </c>
      <c r="F33" s="58" t="s">
        <v>137</v>
      </c>
    </row>
    <row r="34" spans="2:6" ht="21.75" customHeight="1" x14ac:dyDescent="0.2">
      <c r="B34" s="54" t="s">
        <v>138</v>
      </c>
      <c r="C34" s="55" t="s">
        <v>94</v>
      </c>
      <c r="D34" s="56" t="s">
        <v>136</v>
      </c>
      <c r="E34" s="57">
        <v>20000</v>
      </c>
      <c r="F34" s="58" t="s">
        <v>139</v>
      </c>
    </row>
    <row r="35" spans="2:6" ht="19.5" customHeight="1" x14ac:dyDescent="0.2">
      <c r="B35" s="69" t="s">
        <v>140</v>
      </c>
      <c r="C35" s="43"/>
      <c r="D35" s="43"/>
      <c r="E35" s="70">
        <v>681000</v>
      </c>
      <c r="F35" s="43"/>
    </row>
    <row r="37" spans="2:6" ht="18" customHeight="1" x14ac:dyDescent="0.2">
      <c r="B37" s="201" t="s">
        <v>141</v>
      </c>
      <c r="C37" s="201"/>
      <c r="D37" s="201"/>
      <c r="E37" s="201"/>
      <c r="F37" s="201"/>
    </row>
    <row r="38" spans="2:6" ht="15.75" customHeight="1" x14ac:dyDescent="0.2">
      <c r="B38" s="71" t="s">
        <v>142</v>
      </c>
      <c r="C38" s="72"/>
      <c r="D38" s="72"/>
      <c r="E38" s="73">
        <v>48000</v>
      </c>
      <c r="F38" s="72"/>
    </row>
    <row r="39" spans="2:6" ht="15.75" customHeight="1" x14ac:dyDescent="0.2">
      <c r="B39" s="74" t="s">
        <v>143</v>
      </c>
      <c r="C39" s="75"/>
      <c r="D39" s="75"/>
      <c r="E39" s="76">
        <v>228000</v>
      </c>
      <c r="F39" s="75"/>
    </row>
    <row r="40" spans="2:6" ht="15.75" customHeight="1" x14ac:dyDescent="0.2">
      <c r="B40" s="77" t="s">
        <v>144</v>
      </c>
      <c r="C40" s="78"/>
      <c r="D40" s="78"/>
      <c r="E40" s="79">
        <v>205000</v>
      </c>
      <c r="F40" s="78"/>
    </row>
    <row r="41" spans="2:6" ht="15.75" customHeight="1" x14ac:dyDescent="0.2">
      <c r="B41" s="80" t="s">
        <v>145</v>
      </c>
      <c r="C41" s="81"/>
      <c r="D41" s="81"/>
      <c r="E41" s="82">
        <v>0</v>
      </c>
      <c r="F41" s="81"/>
    </row>
    <row r="42" spans="2:6" ht="15.75" customHeight="1" x14ac:dyDescent="0.2">
      <c r="B42" s="18" t="s">
        <v>146</v>
      </c>
      <c r="C42" s="83"/>
      <c r="D42" s="83"/>
      <c r="E42" s="84">
        <v>200000</v>
      </c>
      <c r="F42" s="83"/>
    </row>
  </sheetData>
  <mergeCells count="15">
    <mergeCell ref="B16:F16"/>
    <mergeCell ref="B17:F17"/>
    <mergeCell ref="B24:F24"/>
    <mergeCell ref="B32:F32"/>
    <mergeCell ref="B37:F37"/>
    <mergeCell ref="B8:F8"/>
    <mergeCell ref="B9:F9"/>
    <mergeCell ref="B10:F10"/>
    <mergeCell ref="B12:F12"/>
    <mergeCell ref="B14:F14"/>
    <mergeCell ref="B2:F2"/>
    <mergeCell ref="B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M34"/>
  <sheetViews>
    <sheetView zoomScale="77" zoomScaleNormal="100"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E23" sqref="E23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12" width="14" customWidth="1"/>
    <col min="13" max="13" width="15" customWidth="1"/>
    <col min="14" max="14" width="3" customWidth="1"/>
  </cols>
  <sheetData>
    <row r="1" spans="2:13" ht="6" customHeight="1" x14ac:dyDescent="0.2"/>
    <row r="2" spans="2:13" ht="42" customHeight="1" x14ac:dyDescent="0.2">
      <c r="B2" s="227" t="s">
        <v>147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</row>
    <row r="3" spans="2:13" ht="18" customHeight="1" x14ac:dyDescent="0.2">
      <c r="B3" s="228" t="s">
        <v>148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</row>
    <row r="4" spans="2:13" ht="19.5" customHeight="1" x14ac:dyDescent="0.2">
      <c r="B4" s="12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  <c r="H4" s="3" t="s">
        <v>155</v>
      </c>
      <c r="I4" s="3" t="s">
        <v>156</v>
      </c>
      <c r="J4" s="3" t="s">
        <v>157</v>
      </c>
      <c r="K4" s="3" t="s">
        <v>158</v>
      </c>
      <c r="L4" s="3" t="s">
        <v>159</v>
      </c>
      <c r="M4" s="85" t="s">
        <v>160</v>
      </c>
    </row>
    <row r="5" spans="2:13" ht="19.5" customHeight="1" x14ac:dyDescent="0.2">
      <c r="B5" s="229" t="s">
        <v>161</v>
      </c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</row>
    <row r="6" spans="2:13" ht="16.5" customHeight="1" x14ac:dyDescent="0.2">
      <c r="B6" s="86" t="s">
        <v>162</v>
      </c>
      <c r="C6" s="87">
        <v>0.05</v>
      </c>
      <c r="D6" s="230" t="s">
        <v>163</v>
      </c>
      <c r="E6" s="230"/>
      <c r="F6" s="230"/>
      <c r="G6" s="230"/>
      <c r="H6" s="230"/>
      <c r="I6" s="230"/>
      <c r="J6" s="230"/>
      <c r="K6" s="230"/>
      <c r="L6" s="230"/>
      <c r="M6" s="230"/>
    </row>
    <row r="7" spans="2:13" ht="16.5" customHeight="1" x14ac:dyDescent="0.2">
      <c r="B7" s="86" t="s">
        <v>164</v>
      </c>
      <c r="C7" s="87">
        <v>0.2</v>
      </c>
      <c r="D7" s="230" t="s">
        <v>165</v>
      </c>
      <c r="E7" s="230"/>
      <c r="F7" s="230"/>
      <c r="G7" s="230"/>
      <c r="H7" s="230"/>
      <c r="I7" s="230"/>
      <c r="J7" s="230"/>
      <c r="K7" s="230"/>
      <c r="L7" s="230"/>
      <c r="M7" s="230"/>
    </row>
    <row r="8" spans="2:13" ht="16.5" customHeight="1" x14ac:dyDescent="0.2">
      <c r="B8" s="86" t="s">
        <v>166</v>
      </c>
      <c r="C8" s="87">
        <v>0.03</v>
      </c>
      <c r="D8" s="230" t="s">
        <v>167</v>
      </c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6.5" customHeight="1" x14ac:dyDescent="0.2">
      <c r="B9" s="86" t="s">
        <v>168</v>
      </c>
      <c r="C9" s="88">
        <v>3</v>
      </c>
      <c r="D9" s="230" t="s">
        <v>169</v>
      </c>
      <c r="E9" s="230"/>
      <c r="F9" s="230"/>
      <c r="G9" s="230"/>
      <c r="H9" s="230"/>
      <c r="I9" s="230"/>
      <c r="J9" s="230"/>
      <c r="K9" s="230"/>
      <c r="L9" s="230"/>
      <c r="M9" s="230"/>
    </row>
    <row r="10" spans="2:13" ht="19.5" customHeight="1" x14ac:dyDescent="0.2">
      <c r="B10" s="232" t="s">
        <v>170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</row>
    <row r="11" spans="2:13" ht="15.75" customHeight="1" x14ac:dyDescent="0.2">
      <c r="B11" s="89" t="s">
        <v>171</v>
      </c>
      <c r="C11" s="76">
        <v>10219607</v>
      </c>
      <c r="D11" s="76">
        <v>10730588</v>
      </c>
      <c r="E11" s="76">
        <v>11267117</v>
      </c>
      <c r="F11" s="76">
        <v>11830473</v>
      </c>
      <c r="G11" s="76">
        <v>12421997</v>
      </c>
      <c r="H11" s="76">
        <v>13043096</v>
      </c>
      <c r="I11" s="76">
        <v>13695251</v>
      </c>
      <c r="J11" s="76">
        <v>14380014</v>
      </c>
      <c r="K11" s="76">
        <v>15099014</v>
      </c>
      <c r="L11" s="76">
        <v>15853965</v>
      </c>
      <c r="M11" s="76">
        <v>128541122</v>
      </c>
    </row>
    <row r="12" spans="2:13" ht="15.75" customHeight="1" x14ac:dyDescent="0.2">
      <c r="B12" s="4" t="s">
        <v>172</v>
      </c>
      <c r="C12" s="29">
        <v>9197647</v>
      </c>
      <c r="D12" s="29">
        <v>9657529</v>
      </c>
      <c r="E12" s="29">
        <v>10140405</v>
      </c>
      <c r="F12" s="29">
        <v>10647426</v>
      </c>
      <c r="G12" s="29">
        <v>11179797</v>
      </c>
      <c r="H12" s="29">
        <v>11738787</v>
      </c>
      <c r="I12" s="29">
        <v>12325726</v>
      </c>
      <c r="J12" s="29">
        <v>12942012</v>
      </c>
      <c r="K12" s="29">
        <v>13589113</v>
      </c>
      <c r="L12" s="29">
        <v>14268569</v>
      </c>
      <c r="M12" s="29">
        <v>115687011</v>
      </c>
    </row>
    <row r="13" spans="2:13" ht="15.75" customHeight="1" x14ac:dyDescent="0.2">
      <c r="B13" s="8" t="s">
        <v>173</v>
      </c>
      <c r="C13" s="34">
        <v>8175686</v>
      </c>
      <c r="D13" s="34">
        <v>8584470</v>
      </c>
      <c r="E13" s="34">
        <v>9013694</v>
      </c>
      <c r="F13" s="34">
        <v>9464378</v>
      </c>
      <c r="G13" s="34">
        <v>9937597</v>
      </c>
      <c r="H13" s="34">
        <v>10434477</v>
      </c>
      <c r="I13" s="34">
        <v>10956201</v>
      </c>
      <c r="J13" s="34">
        <v>11504011</v>
      </c>
      <c r="K13" s="34">
        <v>12079212</v>
      </c>
      <c r="L13" s="34">
        <v>12683172</v>
      </c>
      <c r="M13" s="34">
        <v>102832898</v>
      </c>
    </row>
    <row r="14" spans="2:13" ht="15.75" customHeight="1" x14ac:dyDescent="0.2">
      <c r="B14" s="4" t="s">
        <v>174</v>
      </c>
      <c r="C14" s="29">
        <v>7153725</v>
      </c>
      <c r="D14" s="29">
        <v>7511411</v>
      </c>
      <c r="E14" s="29">
        <v>7886982</v>
      </c>
      <c r="F14" s="29">
        <v>8281331</v>
      </c>
      <c r="G14" s="29">
        <v>8695398</v>
      </c>
      <c r="H14" s="29">
        <v>9130167</v>
      </c>
      <c r="I14" s="29">
        <v>9586676</v>
      </c>
      <c r="J14" s="29">
        <v>10066010</v>
      </c>
      <c r="K14" s="29">
        <v>10569310</v>
      </c>
      <c r="L14" s="29">
        <v>11097776</v>
      </c>
      <c r="M14" s="29">
        <v>89978786</v>
      </c>
    </row>
    <row r="15" spans="2:13" ht="15.75" customHeight="1" x14ac:dyDescent="0.2">
      <c r="B15" s="90" t="s">
        <v>175</v>
      </c>
      <c r="C15" s="73">
        <v>6131764</v>
      </c>
      <c r="D15" s="73">
        <v>6438353</v>
      </c>
      <c r="E15" s="73">
        <v>6760270</v>
      </c>
      <c r="F15" s="73">
        <v>7098284</v>
      </c>
      <c r="G15" s="73">
        <v>7453198</v>
      </c>
      <c r="H15" s="73">
        <v>7825858</v>
      </c>
      <c r="I15" s="73">
        <v>8217151</v>
      </c>
      <c r="J15" s="73">
        <v>8628008</v>
      </c>
      <c r="K15" s="73">
        <v>9059409</v>
      </c>
      <c r="L15" s="73">
        <v>9512379</v>
      </c>
      <c r="M15" s="73">
        <v>77124674</v>
      </c>
    </row>
    <row r="16" spans="2:13" ht="19.5" customHeight="1" x14ac:dyDescent="0.2">
      <c r="B16" s="224" t="s">
        <v>176</v>
      </c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</row>
    <row r="17" spans="2:13" ht="15.75" customHeight="1" x14ac:dyDescent="0.2">
      <c r="B17" s="91" t="s">
        <v>177</v>
      </c>
      <c r="C17" s="84">
        <v>30658822</v>
      </c>
      <c r="D17" s="84">
        <v>32191763</v>
      </c>
      <c r="E17" s="84">
        <v>33801351</v>
      </c>
      <c r="F17" s="84">
        <v>35491419</v>
      </c>
      <c r="G17" s="84">
        <v>37265990</v>
      </c>
      <c r="H17" s="84">
        <v>39129289</v>
      </c>
      <c r="I17" s="84">
        <v>41085754</v>
      </c>
      <c r="J17" s="84">
        <v>43140041</v>
      </c>
      <c r="K17" s="84">
        <v>45297043</v>
      </c>
      <c r="L17" s="84">
        <v>47561895</v>
      </c>
      <c r="M17" s="84">
        <v>385623367</v>
      </c>
    </row>
    <row r="18" spans="2:13" ht="15.75" customHeight="1" x14ac:dyDescent="0.2">
      <c r="B18" s="4" t="s">
        <v>178</v>
      </c>
      <c r="C18" s="29">
        <v>27592940</v>
      </c>
      <c r="D18" s="29">
        <v>28972587</v>
      </c>
      <c r="E18" s="29">
        <v>30421216</v>
      </c>
      <c r="F18" s="29">
        <v>31942277</v>
      </c>
      <c r="G18" s="29">
        <v>33539391</v>
      </c>
      <c r="H18" s="29">
        <v>35216360</v>
      </c>
      <c r="I18" s="29">
        <v>36977178</v>
      </c>
      <c r="J18" s="29">
        <v>38826037</v>
      </c>
      <c r="K18" s="29">
        <v>40767339</v>
      </c>
      <c r="L18" s="29">
        <v>42805706</v>
      </c>
      <c r="M18" s="29">
        <v>347061031</v>
      </c>
    </row>
    <row r="19" spans="2:13" ht="15.75" customHeight="1" x14ac:dyDescent="0.2">
      <c r="B19" s="8" t="s">
        <v>179</v>
      </c>
      <c r="C19" s="34">
        <v>24527058</v>
      </c>
      <c r="D19" s="34">
        <v>25753410</v>
      </c>
      <c r="E19" s="34">
        <v>27041081</v>
      </c>
      <c r="F19" s="34">
        <v>28393135</v>
      </c>
      <c r="G19" s="34">
        <v>29812792</v>
      </c>
      <c r="H19" s="34">
        <v>31303431</v>
      </c>
      <c r="I19" s="34">
        <v>32868603</v>
      </c>
      <c r="J19" s="34">
        <v>34512033</v>
      </c>
      <c r="K19" s="34">
        <v>36237635</v>
      </c>
      <c r="L19" s="34">
        <v>38049516</v>
      </c>
      <c r="M19" s="34">
        <v>308498694</v>
      </c>
    </row>
    <row r="20" spans="2:13" ht="15.75" customHeight="1" x14ac:dyDescent="0.2">
      <c r="B20" s="4" t="s">
        <v>180</v>
      </c>
      <c r="C20" s="29">
        <v>21461175</v>
      </c>
      <c r="D20" s="29">
        <v>22534234</v>
      </c>
      <c r="E20" s="29">
        <v>23660946</v>
      </c>
      <c r="F20" s="29">
        <v>24843993</v>
      </c>
      <c r="G20" s="29">
        <v>26086193</v>
      </c>
      <c r="H20" s="29">
        <v>27390502</v>
      </c>
      <c r="I20" s="29">
        <v>28760028</v>
      </c>
      <c r="J20" s="29">
        <v>30198029</v>
      </c>
      <c r="K20" s="29">
        <v>31707930</v>
      </c>
      <c r="L20" s="29">
        <v>33293327</v>
      </c>
      <c r="M20" s="29">
        <v>269936357</v>
      </c>
    </row>
    <row r="21" spans="2:13" ht="15.75" customHeight="1" x14ac:dyDescent="0.2">
      <c r="B21" s="90" t="s">
        <v>181</v>
      </c>
      <c r="C21" s="73">
        <v>18395293</v>
      </c>
      <c r="D21" s="73">
        <v>19315058</v>
      </c>
      <c r="E21" s="73">
        <v>20280811</v>
      </c>
      <c r="F21" s="73">
        <v>21294851</v>
      </c>
      <c r="G21" s="73">
        <v>22359594</v>
      </c>
      <c r="H21" s="73">
        <v>23477573</v>
      </c>
      <c r="I21" s="73">
        <v>24651452</v>
      </c>
      <c r="J21" s="73">
        <v>25884025</v>
      </c>
      <c r="K21" s="73">
        <v>27178226</v>
      </c>
      <c r="L21" s="73">
        <v>28537137</v>
      </c>
      <c r="M21" s="73">
        <v>231374020</v>
      </c>
    </row>
    <row r="22" spans="2:13" ht="19.5" customHeight="1" x14ac:dyDescent="0.2">
      <c r="B22" s="225" t="s">
        <v>182</v>
      </c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</row>
    <row r="23" spans="2:13" ht="16.5" customHeight="1" x14ac:dyDescent="0.2">
      <c r="B23" s="92" t="s">
        <v>183</v>
      </c>
      <c r="C23" s="93">
        <v>812400</v>
      </c>
      <c r="D23" s="93">
        <v>1673544</v>
      </c>
      <c r="E23" s="93">
        <v>1723750</v>
      </c>
      <c r="F23" s="93">
        <v>1775463</v>
      </c>
      <c r="G23" s="93">
        <v>1828727</v>
      </c>
      <c r="H23" s="93">
        <v>1883589</v>
      </c>
      <c r="I23" s="93">
        <v>1940096</v>
      </c>
      <c r="J23" s="93">
        <v>1998299</v>
      </c>
      <c r="K23" s="93">
        <v>2058248</v>
      </c>
      <c r="L23" s="93">
        <v>2119995</v>
      </c>
      <c r="M23" s="93">
        <v>17814111</v>
      </c>
    </row>
    <row r="24" spans="2:13" ht="19.5" customHeight="1" x14ac:dyDescent="0.2">
      <c r="B24" s="231" t="s">
        <v>184</v>
      </c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</row>
    <row r="25" spans="2:13" ht="16.5" customHeight="1" x14ac:dyDescent="0.2">
      <c r="B25" s="94" t="s">
        <v>185</v>
      </c>
      <c r="C25" s="95">
        <v>276000</v>
      </c>
      <c r="D25" s="95">
        <v>205000</v>
      </c>
      <c r="E25" s="95">
        <v>200000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5">
        <v>681000</v>
      </c>
    </row>
    <row r="26" spans="2:13" ht="13.5" customHeight="1" x14ac:dyDescent="0.2">
      <c r="B26" s="97" t="s">
        <v>186</v>
      </c>
      <c r="C26" s="98">
        <v>48000</v>
      </c>
      <c r="D26" s="99" t="s">
        <v>40</v>
      </c>
      <c r="E26" s="99" t="s">
        <v>40</v>
      </c>
      <c r="F26" s="99" t="s">
        <v>40</v>
      </c>
      <c r="G26" s="99" t="s">
        <v>40</v>
      </c>
      <c r="H26" s="99" t="s">
        <v>40</v>
      </c>
      <c r="I26" s="99" t="s">
        <v>40</v>
      </c>
      <c r="J26" s="99" t="s">
        <v>40</v>
      </c>
      <c r="K26" s="99" t="s">
        <v>40</v>
      </c>
      <c r="L26" s="99" t="s">
        <v>40</v>
      </c>
      <c r="M26" s="98">
        <v>48000</v>
      </c>
    </row>
    <row r="27" spans="2:13" ht="13.5" customHeight="1" x14ac:dyDescent="0.2">
      <c r="B27" s="97" t="s">
        <v>187</v>
      </c>
      <c r="C27" s="98">
        <v>228000</v>
      </c>
      <c r="D27" s="99" t="s">
        <v>40</v>
      </c>
      <c r="E27" s="99" t="s">
        <v>40</v>
      </c>
      <c r="F27" s="99" t="s">
        <v>40</v>
      </c>
      <c r="G27" s="99" t="s">
        <v>40</v>
      </c>
      <c r="H27" s="99" t="s">
        <v>40</v>
      </c>
      <c r="I27" s="99" t="s">
        <v>40</v>
      </c>
      <c r="J27" s="99" t="s">
        <v>40</v>
      </c>
      <c r="K27" s="99" t="s">
        <v>40</v>
      </c>
      <c r="L27" s="99" t="s">
        <v>40</v>
      </c>
      <c r="M27" s="98">
        <v>228000</v>
      </c>
    </row>
    <row r="28" spans="2:13" ht="13.5" customHeight="1" x14ac:dyDescent="0.2">
      <c r="B28" s="97" t="s">
        <v>188</v>
      </c>
      <c r="C28" s="99" t="s">
        <v>40</v>
      </c>
      <c r="D28" s="98">
        <v>205000</v>
      </c>
      <c r="E28" s="99" t="s">
        <v>40</v>
      </c>
      <c r="F28" s="99" t="s">
        <v>40</v>
      </c>
      <c r="G28" s="99" t="s">
        <v>40</v>
      </c>
      <c r="H28" s="99" t="s">
        <v>40</v>
      </c>
      <c r="I28" s="99" t="s">
        <v>40</v>
      </c>
      <c r="J28" s="99" t="s">
        <v>40</v>
      </c>
      <c r="K28" s="99" t="s">
        <v>40</v>
      </c>
      <c r="L28" s="99" t="s">
        <v>40</v>
      </c>
      <c r="M28" s="98">
        <v>205000</v>
      </c>
    </row>
    <row r="29" spans="2:13" ht="13.5" customHeight="1" x14ac:dyDescent="0.2">
      <c r="B29" s="97" t="s">
        <v>189</v>
      </c>
      <c r="C29" s="99" t="s">
        <v>40</v>
      </c>
      <c r="D29" s="99" t="s">
        <v>40</v>
      </c>
      <c r="E29" s="98">
        <v>200000</v>
      </c>
      <c r="F29" s="99" t="s">
        <v>40</v>
      </c>
      <c r="G29" s="99" t="s">
        <v>40</v>
      </c>
      <c r="H29" s="99" t="s">
        <v>40</v>
      </c>
      <c r="I29" s="99" t="s">
        <v>40</v>
      </c>
      <c r="J29" s="99" t="s">
        <v>40</v>
      </c>
      <c r="K29" s="99" t="s">
        <v>40</v>
      </c>
      <c r="L29" s="99" t="s">
        <v>40</v>
      </c>
      <c r="M29" s="98">
        <v>200000</v>
      </c>
    </row>
    <row r="30" spans="2:13" ht="19.5" customHeight="1" x14ac:dyDescent="0.2">
      <c r="B30" s="201" t="s">
        <v>190</v>
      </c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</row>
    <row r="31" spans="2:13" ht="18" customHeight="1" x14ac:dyDescent="0.2">
      <c r="B31" s="89" t="s">
        <v>191</v>
      </c>
      <c r="C31" s="76">
        <v>25615458</v>
      </c>
      <c r="D31" s="76">
        <v>27631954</v>
      </c>
      <c r="E31" s="76">
        <v>28964831</v>
      </c>
      <c r="F31" s="76">
        <v>30168598</v>
      </c>
      <c r="G31" s="76">
        <v>31641519</v>
      </c>
      <c r="H31" s="76">
        <v>33187020</v>
      </c>
      <c r="I31" s="76">
        <v>34808699</v>
      </c>
      <c r="J31" s="76">
        <v>36510332</v>
      </c>
      <c r="K31" s="76">
        <v>38295883</v>
      </c>
      <c r="L31" s="76">
        <v>40169511</v>
      </c>
      <c r="M31" s="76">
        <v>326993805</v>
      </c>
    </row>
    <row r="32" spans="2:13" ht="18" customHeight="1" x14ac:dyDescent="0.2">
      <c r="B32" s="91" t="s">
        <v>192</v>
      </c>
      <c r="C32" s="84">
        <v>30658822</v>
      </c>
      <c r="D32" s="84">
        <v>32191763</v>
      </c>
      <c r="E32" s="84">
        <v>33801351</v>
      </c>
      <c r="F32" s="84">
        <v>35491419</v>
      </c>
      <c r="G32" s="84">
        <v>37265990</v>
      </c>
      <c r="H32" s="84">
        <v>39129289</v>
      </c>
      <c r="I32" s="84">
        <v>41085754</v>
      </c>
      <c r="J32" s="84">
        <v>43140041</v>
      </c>
      <c r="K32" s="84">
        <v>45297043</v>
      </c>
      <c r="L32" s="84">
        <v>47561895</v>
      </c>
      <c r="M32" s="84">
        <v>385623367</v>
      </c>
    </row>
    <row r="33" spans="2:13" ht="21.75" customHeight="1" x14ac:dyDescent="0.2">
      <c r="B33" s="100" t="s">
        <v>193</v>
      </c>
      <c r="C33" s="101">
        <v>5043364</v>
      </c>
      <c r="D33" s="101">
        <v>4559809</v>
      </c>
      <c r="E33" s="101">
        <v>4836520</v>
      </c>
      <c r="F33" s="101">
        <v>5322821</v>
      </c>
      <c r="G33" s="101">
        <v>5624471</v>
      </c>
      <c r="H33" s="101">
        <v>5942269</v>
      </c>
      <c r="I33" s="101">
        <v>6277055</v>
      </c>
      <c r="J33" s="101">
        <v>6629709</v>
      </c>
      <c r="K33" s="101">
        <v>7001160</v>
      </c>
      <c r="L33" s="101">
        <v>7392384</v>
      </c>
      <c r="M33" s="102">
        <v>58629562</v>
      </c>
    </row>
    <row r="34" spans="2:13" ht="18" customHeight="1" x14ac:dyDescent="0.2">
      <c r="B34" s="103" t="s">
        <v>194</v>
      </c>
      <c r="C34" s="104">
        <v>4.63</v>
      </c>
      <c r="D34" s="104">
        <v>2.4300000000000002</v>
      </c>
      <c r="E34" s="104">
        <v>2.5099999999999998</v>
      </c>
      <c r="F34" s="104">
        <v>3</v>
      </c>
      <c r="G34" s="104">
        <v>3.08</v>
      </c>
      <c r="H34" s="104">
        <v>3.15</v>
      </c>
      <c r="I34" s="104">
        <v>3.24</v>
      </c>
      <c r="J34" s="104">
        <v>3.32</v>
      </c>
      <c r="K34" s="104">
        <v>3.4</v>
      </c>
      <c r="L34" s="104">
        <v>3.49</v>
      </c>
      <c r="M34" s="105">
        <v>3.17</v>
      </c>
    </row>
  </sheetData>
  <mergeCells count="12">
    <mergeCell ref="B24:M24"/>
    <mergeCell ref="B30:M30"/>
    <mergeCell ref="D8:M8"/>
    <mergeCell ref="D9:M9"/>
    <mergeCell ref="B10:M10"/>
    <mergeCell ref="B16:M16"/>
    <mergeCell ref="B22:M22"/>
    <mergeCell ref="B2:M2"/>
    <mergeCell ref="B3:M3"/>
    <mergeCell ref="B5:M5"/>
    <mergeCell ref="D6:M6"/>
    <mergeCell ref="D7:M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D6A0A"/>
  </sheetPr>
  <dimension ref="B1:H100"/>
  <sheetViews>
    <sheetView tabSelected="1" zoomScaleNormal="100" workbookViewId="0">
      <pane xSplit="2" ySplit="5" topLeftCell="C34" activePane="bottomRight" state="frozen"/>
      <selection pane="topRight" activeCell="C1" sqref="C1"/>
      <selection pane="bottomLeft" activeCell="A6" sqref="A6"/>
      <selection pane="bottomRight" activeCell="L7" sqref="L7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8" width="16" customWidth="1"/>
    <col min="9" max="9" width="4" customWidth="1"/>
  </cols>
  <sheetData>
    <row r="1" spans="2:8" ht="6" customHeight="1" x14ac:dyDescent="0.2"/>
    <row r="2" spans="2:8" ht="42" customHeight="1" x14ac:dyDescent="0.2">
      <c r="B2" s="233" t="s">
        <v>195</v>
      </c>
      <c r="C2" s="233"/>
      <c r="D2" s="233"/>
      <c r="E2" s="233"/>
      <c r="F2" s="233"/>
      <c r="G2" s="233"/>
      <c r="H2" s="233"/>
    </row>
    <row r="3" spans="2:8" ht="18" customHeight="1" x14ac:dyDescent="0.2">
      <c r="B3" s="234" t="s">
        <v>196</v>
      </c>
      <c r="C3" s="234"/>
      <c r="D3" s="234"/>
      <c r="E3" s="234"/>
      <c r="F3" s="234"/>
      <c r="G3" s="234"/>
      <c r="H3" s="234"/>
    </row>
    <row r="5" spans="2:8" ht="19.5" customHeight="1" x14ac:dyDescent="0.2">
      <c r="B5" s="235" t="s">
        <v>197</v>
      </c>
      <c r="C5" s="235"/>
      <c r="D5" s="235"/>
      <c r="E5" s="235"/>
      <c r="F5" s="235"/>
      <c r="G5" s="235"/>
      <c r="H5" s="235"/>
    </row>
    <row r="6" spans="2:8" ht="18" customHeight="1" x14ac:dyDescent="0.2">
      <c r="B6" s="3" t="s">
        <v>198</v>
      </c>
      <c r="C6" s="3" t="s">
        <v>199</v>
      </c>
      <c r="D6" s="3" t="s">
        <v>200</v>
      </c>
      <c r="E6" s="3" t="s">
        <v>201</v>
      </c>
      <c r="F6" s="236" t="s">
        <v>50</v>
      </c>
      <c r="G6" s="236"/>
      <c r="H6" s="236"/>
    </row>
    <row r="7" spans="2:8" ht="13.5" customHeight="1" x14ac:dyDescent="0.2">
      <c r="B7" s="237" t="s">
        <v>202</v>
      </c>
      <c r="C7" s="237"/>
      <c r="D7" s="237"/>
      <c r="E7" s="237"/>
      <c r="F7" s="237"/>
      <c r="G7" s="237"/>
      <c r="H7" s="237"/>
    </row>
    <row r="8" spans="2:8" ht="18" customHeight="1" x14ac:dyDescent="0.2">
      <c r="B8" s="106" t="s">
        <v>203</v>
      </c>
      <c r="C8" s="107">
        <v>8.24</v>
      </c>
      <c r="D8" s="108" t="s">
        <v>204</v>
      </c>
      <c r="E8" s="109" t="s">
        <v>205</v>
      </c>
      <c r="F8" s="238" t="s">
        <v>206</v>
      </c>
      <c r="G8" s="238"/>
      <c r="H8" s="238"/>
    </row>
    <row r="9" spans="2:8" ht="18" customHeight="1" x14ac:dyDescent="0.2">
      <c r="B9" s="110" t="s">
        <v>207</v>
      </c>
      <c r="C9" s="107">
        <v>1.85</v>
      </c>
      <c r="D9" s="111" t="s">
        <v>204</v>
      </c>
      <c r="E9" s="112" t="s">
        <v>208</v>
      </c>
      <c r="F9" s="239" t="s">
        <v>209</v>
      </c>
      <c r="G9" s="239"/>
      <c r="H9" s="239"/>
    </row>
    <row r="10" spans="2:8" ht="18" customHeight="1" x14ac:dyDescent="0.2">
      <c r="B10" s="106" t="s">
        <v>210</v>
      </c>
      <c r="C10" s="107">
        <v>2.5299999999999998</v>
      </c>
      <c r="D10" s="108" t="s">
        <v>204</v>
      </c>
      <c r="E10" s="109" t="s">
        <v>211</v>
      </c>
      <c r="F10" s="238" t="s">
        <v>212</v>
      </c>
      <c r="G10" s="238"/>
      <c r="H10" s="238"/>
    </row>
    <row r="11" spans="2:8" ht="18" customHeight="1" x14ac:dyDescent="0.2">
      <c r="B11" s="110" t="s">
        <v>213</v>
      </c>
      <c r="C11" s="107">
        <v>2.85</v>
      </c>
      <c r="D11" s="111" t="s">
        <v>204</v>
      </c>
      <c r="E11" s="112" t="s">
        <v>214</v>
      </c>
      <c r="F11" s="239" t="s">
        <v>215</v>
      </c>
      <c r="G11" s="239"/>
      <c r="H11" s="239"/>
    </row>
    <row r="12" spans="2:8" ht="18" customHeight="1" x14ac:dyDescent="0.2">
      <c r="B12" s="106" t="s">
        <v>216</v>
      </c>
      <c r="C12" s="107">
        <v>3.1</v>
      </c>
      <c r="D12" s="108" t="s">
        <v>204</v>
      </c>
      <c r="E12" s="109" t="s">
        <v>217</v>
      </c>
      <c r="F12" s="238" t="s">
        <v>218</v>
      </c>
      <c r="G12" s="238"/>
      <c r="H12" s="238"/>
    </row>
    <row r="13" spans="2:8" ht="13.5" customHeight="1" x14ac:dyDescent="0.2">
      <c r="B13" s="237" t="s">
        <v>219</v>
      </c>
      <c r="C13" s="237"/>
      <c r="D13" s="237"/>
      <c r="E13" s="237"/>
      <c r="F13" s="237"/>
      <c r="G13" s="237"/>
      <c r="H13" s="237"/>
    </row>
    <row r="14" spans="2:8" ht="18" customHeight="1" x14ac:dyDescent="0.2">
      <c r="B14" s="106" t="s">
        <v>220</v>
      </c>
      <c r="C14" s="107">
        <v>1.6E-2</v>
      </c>
      <c r="D14" s="108" t="s">
        <v>221</v>
      </c>
      <c r="E14" s="109" t="s">
        <v>222</v>
      </c>
      <c r="F14" s="238" t="s">
        <v>223</v>
      </c>
      <c r="G14" s="238"/>
      <c r="H14" s="238"/>
    </row>
    <row r="15" spans="2:8" ht="13.5" customHeight="1" x14ac:dyDescent="0.2">
      <c r="B15" s="237" t="s">
        <v>224</v>
      </c>
      <c r="C15" s="237"/>
      <c r="D15" s="237"/>
      <c r="E15" s="237"/>
      <c r="F15" s="237"/>
      <c r="G15" s="237"/>
      <c r="H15" s="237"/>
    </row>
    <row r="16" spans="2:8" ht="18" customHeight="1" x14ac:dyDescent="0.2">
      <c r="B16" s="106" t="s">
        <v>225</v>
      </c>
      <c r="C16" s="107">
        <v>2480</v>
      </c>
      <c r="D16" s="108" t="s">
        <v>226</v>
      </c>
      <c r="E16" s="109" t="s">
        <v>227</v>
      </c>
      <c r="F16" s="238" t="s">
        <v>228</v>
      </c>
      <c r="G16" s="238"/>
      <c r="H16" s="238"/>
    </row>
    <row r="17" spans="2:8" ht="18" customHeight="1" x14ac:dyDescent="0.2">
      <c r="B17" s="110" t="s">
        <v>229</v>
      </c>
      <c r="C17" s="107">
        <v>2057</v>
      </c>
      <c r="D17" s="111" t="s">
        <v>226</v>
      </c>
      <c r="E17" s="112" t="s">
        <v>230</v>
      </c>
      <c r="F17" s="239" t="s">
        <v>231</v>
      </c>
      <c r="G17" s="239"/>
      <c r="H17" s="239"/>
    </row>
    <row r="18" spans="2:8" ht="18" customHeight="1" x14ac:dyDescent="0.2">
      <c r="B18" s="106" t="s">
        <v>232</v>
      </c>
      <c r="C18" s="107">
        <v>2350</v>
      </c>
      <c r="D18" s="108" t="s">
        <v>226</v>
      </c>
      <c r="E18" s="109" t="s">
        <v>230</v>
      </c>
      <c r="F18" s="238" t="s">
        <v>233</v>
      </c>
      <c r="G18" s="238"/>
      <c r="H18" s="238"/>
    </row>
    <row r="19" spans="2:8" ht="18" customHeight="1" x14ac:dyDescent="0.2">
      <c r="B19" s="110" t="s">
        <v>234</v>
      </c>
      <c r="C19" s="107">
        <v>2350</v>
      </c>
      <c r="D19" s="111" t="s">
        <v>226</v>
      </c>
      <c r="E19" s="112" t="s">
        <v>235</v>
      </c>
      <c r="F19" s="239" t="s">
        <v>236</v>
      </c>
      <c r="G19" s="239"/>
      <c r="H19" s="239"/>
    </row>
    <row r="20" spans="2:8" ht="13.5" customHeight="1" x14ac:dyDescent="0.2">
      <c r="B20" s="237" t="s">
        <v>237</v>
      </c>
      <c r="C20" s="237"/>
      <c r="D20" s="237"/>
      <c r="E20" s="237"/>
      <c r="F20" s="237"/>
      <c r="G20" s="237"/>
      <c r="H20" s="237"/>
    </row>
    <row r="21" spans="2:8" ht="18" customHeight="1" x14ac:dyDescent="0.2">
      <c r="B21" s="110" t="s">
        <v>238</v>
      </c>
      <c r="C21" s="107">
        <v>12</v>
      </c>
      <c r="D21" s="111" t="s">
        <v>239</v>
      </c>
      <c r="E21" s="112" t="s">
        <v>240</v>
      </c>
      <c r="F21" s="239" t="s">
        <v>241</v>
      </c>
      <c r="G21" s="239"/>
      <c r="H21" s="239"/>
    </row>
    <row r="22" spans="2:8" ht="13.5" customHeight="1" x14ac:dyDescent="0.2">
      <c r="B22" s="237" t="s">
        <v>242</v>
      </c>
      <c r="C22" s="237"/>
      <c r="D22" s="237"/>
      <c r="E22" s="237"/>
      <c r="F22" s="237"/>
      <c r="G22" s="237"/>
      <c r="H22" s="237"/>
    </row>
    <row r="23" spans="2:8" ht="18" customHeight="1" x14ac:dyDescent="0.2">
      <c r="B23" s="110" t="s">
        <v>243</v>
      </c>
      <c r="C23" s="107">
        <v>2.5</v>
      </c>
      <c r="D23" s="111" t="s">
        <v>244</v>
      </c>
      <c r="E23" s="112" t="s">
        <v>245</v>
      </c>
      <c r="F23" s="239" t="s">
        <v>246</v>
      </c>
      <c r="G23" s="239"/>
      <c r="H23" s="239"/>
    </row>
    <row r="24" spans="2:8" ht="18" customHeight="1" x14ac:dyDescent="0.2">
      <c r="B24" s="106" t="s">
        <v>247</v>
      </c>
      <c r="C24" s="107">
        <v>0.55100000000000005</v>
      </c>
      <c r="D24" s="108" t="s">
        <v>248</v>
      </c>
      <c r="E24" s="109" t="s">
        <v>249</v>
      </c>
      <c r="F24" s="238" t="s">
        <v>250</v>
      </c>
      <c r="G24" s="238"/>
      <c r="H24" s="238"/>
    </row>
    <row r="25" spans="2:8" ht="18" customHeight="1" x14ac:dyDescent="0.2">
      <c r="B25" s="110" t="s">
        <v>251</v>
      </c>
      <c r="C25" s="107">
        <v>0.8</v>
      </c>
      <c r="D25" s="111" t="s">
        <v>252</v>
      </c>
      <c r="E25" s="112" t="s">
        <v>253</v>
      </c>
      <c r="F25" s="239" t="s">
        <v>254</v>
      </c>
      <c r="G25" s="239"/>
      <c r="H25" s="239"/>
    </row>
    <row r="27" spans="2:8" ht="19.5" customHeight="1" x14ac:dyDescent="0.2">
      <c r="B27" s="235" t="s">
        <v>255</v>
      </c>
      <c r="C27" s="235"/>
      <c r="D27" s="235"/>
      <c r="E27" s="235"/>
      <c r="F27" s="235"/>
      <c r="G27" s="235"/>
      <c r="H27" s="235"/>
    </row>
    <row r="28" spans="2:8" ht="18" customHeight="1" x14ac:dyDescent="0.2">
      <c r="B28" s="113" t="s">
        <v>256</v>
      </c>
      <c r="C28" s="113" t="s">
        <v>257</v>
      </c>
      <c r="D28" s="113" t="s">
        <v>258</v>
      </c>
      <c r="E28" s="113" t="s">
        <v>259</v>
      </c>
      <c r="F28" s="113" t="s">
        <v>260</v>
      </c>
      <c r="G28" s="113" t="s">
        <v>261</v>
      </c>
      <c r="H28" s="113" t="s">
        <v>262</v>
      </c>
    </row>
    <row r="29" spans="2:8" ht="15.75" customHeight="1" x14ac:dyDescent="0.2">
      <c r="B29" s="114" t="s">
        <v>33</v>
      </c>
      <c r="C29" s="115">
        <v>16</v>
      </c>
      <c r="D29" s="116">
        <v>8</v>
      </c>
      <c r="E29" s="116">
        <v>4</v>
      </c>
      <c r="F29" s="116">
        <v>2</v>
      </c>
      <c r="G29" s="116">
        <v>1.5</v>
      </c>
      <c r="H29" s="116">
        <v>0.5</v>
      </c>
    </row>
    <row r="30" spans="2:8" ht="15.75" customHeight="1" x14ac:dyDescent="0.2">
      <c r="B30" s="117" t="s">
        <v>34</v>
      </c>
      <c r="C30" s="118">
        <v>12</v>
      </c>
      <c r="D30" s="119">
        <v>0</v>
      </c>
      <c r="E30" s="119">
        <v>6</v>
      </c>
      <c r="F30" s="119">
        <v>2</v>
      </c>
      <c r="G30" s="119">
        <v>0</v>
      </c>
      <c r="H30" s="119">
        <v>4</v>
      </c>
    </row>
    <row r="31" spans="2:8" ht="15.75" customHeight="1" x14ac:dyDescent="0.2">
      <c r="B31" s="114" t="s">
        <v>31</v>
      </c>
      <c r="C31" s="115">
        <v>8</v>
      </c>
      <c r="D31" s="116">
        <v>0.5</v>
      </c>
      <c r="E31" s="116">
        <v>3</v>
      </c>
      <c r="F31" s="116">
        <v>4</v>
      </c>
      <c r="G31" s="116">
        <v>0.5</v>
      </c>
      <c r="H31" s="116">
        <v>0</v>
      </c>
    </row>
    <row r="32" spans="2:8" ht="15.75" customHeight="1" x14ac:dyDescent="0.2">
      <c r="B32" s="117" t="s">
        <v>30</v>
      </c>
      <c r="C32" s="118">
        <v>1.5</v>
      </c>
      <c r="D32" s="119">
        <v>0</v>
      </c>
      <c r="E32" s="119">
        <v>0</v>
      </c>
      <c r="F32" s="119">
        <v>0.2</v>
      </c>
      <c r="G32" s="119">
        <v>0.8</v>
      </c>
      <c r="H32" s="119">
        <v>0.5</v>
      </c>
    </row>
    <row r="33" spans="2:8" ht="15.75" customHeight="1" x14ac:dyDescent="0.2">
      <c r="B33" s="114" t="s">
        <v>32</v>
      </c>
      <c r="C33" s="115">
        <v>1.2</v>
      </c>
      <c r="D33" s="116">
        <v>1</v>
      </c>
      <c r="E33" s="116">
        <v>0</v>
      </c>
      <c r="F33" s="116">
        <v>0.05</v>
      </c>
      <c r="G33" s="116">
        <v>0.15</v>
      </c>
      <c r="H33" s="116">
        <v>0</v>
      </c>
    </row>
    <row r="34" spans="2:8" ht="15.75" customHeight="1" x14ac:dyDescent="0.2">
      <c r="B34" s="117" t="s">
        <v>35</v>
      </c>
      <c r="C34" s="118">
        <v>35</v>
      </c>
      <c r="D34" s="119">
        <v>10</v>
      </c>
      <c r="E34" s="119">
        <v>20</v>
      </c>
      <c r="F34" s="119">
        <v>3</v>
      </c>
      <c r="G34" s="119">
        <v>2</v>
      </c>
      <c r="H34" s="119">
        <v>0</v>
      </c>
    </row>
    <row r="35" spans="2:8" ht="15.75" customHeight="1" x14ac:dyDescent="0.2">
      <c r="B35" s="114" t="s">
        <v>263</v>
      </c>
      <c r="C35" s="115">
        <v>5</v>
      </c>
      <c r="D35" s="116">
        <v>0.5</v>
      </c>
      <c r="E35" s="116">
        <v>1.5</v>
      </c>
      <c r="F35" s="116">
        <v>2.5</v>
      </c>
      <c r="G35" s="116">
        <v>0.5</v>
      </c>
      <c r="H35" s="116">
        <v>0</v>
      </c>
    </row>
    <row r="37" spans="2:8" ht="19.5" customHeight="1" x14ac:dyDescent="0.2">
      <c r="B37" s="240" t="s">
        <v>264</v>
      </c>
      <c r="C37" s="240"/>
      <c r="D37" s="240"/>
      <c r="E37" s="240"/>
      <c r="F37" s="240"/>
      <c r="G37" s="240"/>
      <c r="H37" s="240"/>
    </row>
    <row r="38" spans="2:8" ht="27.75" customHeight="1" x14ac:dyDescent="0.2">
      <c r="B38" s="113" t="s">
        <v>256</v>
      </c>
      <c r="C38" s="113" t="s">
        <v>265</v>
      </c>
      <c r="D38" s="113" t="s">
        <v>266</v>
      </c>
      <c r="E38" s="113" t="s">
        <v>267</v>
      </c>
      <c r="F38" s="113" t="s">
        <v>268</v>
      </c>
      <c r="G38" s="113" t="s">
        <v>269</v>
      </c>
      <c r="H38" s="113" t="s">
        <v>270</v>
      </c>
    </row>
    <row r="39" spans="2:8" ht="18" customHeight="1" x14ac:dyDescent="0.2">
      <c r="B39" s="114" t="s">
        <v>33</v>
      </c>
      <c r="C39" s="120">
        <v>84.21</v>
      </c>
      <c r="D39" s="121">
        <v>0.63500000000000001</v>
      </c>
      <c r="E39" s="122">
        <v>84.84</v>
      </c>
      <c r="F39" s="123" t="s">
        <v>271</v>
      </c>
      <c r="G39" s="124">
        <v>2480</v>
      </c>
      <c r="H39" s="125">
        <v>12</v>
      </c>
    </row>
    <row r="40" spans="2:8" ht="18" customHeight="1" x14ac:dyDescent="0.2">
      <c r="B40" s="117" t="s">
        <v>34</v>
      </c>
      <c r="C40" s="126">
        <v>28.56</v>
      </c>
      <c r="D40" s="127">
        <v>0.39500000000000002</v>
      </c>
      <c r="E40" s="128">
        <v>28.95</v>
      </c>
      <c r="F40" s="109" t="s">
        <v>272</v>
      </c>
      <c r="G40" s="129">
        <v>2057</v>
      </c>
      <c r="H40" s="130">
        <v>12</v>
      </c>
    </row>
    <row r="41" spans="2:8" ht="18" customHeight="1" x14ac:dyDescent="0.2">
      <c r="B41" s="114" t="s">
        <v>31</v>
      </c>
      <c r="C41" s="120">
        <v>21.21</v>
      </c>
      <c r="D41" s="121">
        <v>0.30099999999999999</v>
      </c>
      <c r="E41" s="122">
        <v>21.52</v>
      </c>
      <c r="F41" s="123" t="s">
        <v>273</v>
      </c>
      <c r="G41" s="124">
        <v>2350</v>
      </c>
      <c r="H41" s="125">
        <v>12</v>
      </c>
    </row>
    <row r="42" spans="2:8" ht="18" customHeight="1" x14ac:dyDescent="0.2">
      <c r="B42" s="117" t="s">
        <v>30</v>
      </c>
      <c r="C42" s="126">
        <v>4.34</v>
      </c>
      <c r="D42" s="127">
        <v>5.6000000000000001E-2</v>
      </c>
      <c r="E42" s="128">
        <v>4.3899999999999997</v>
      </c>
      <c r="F42" s="109" t="s">
        <v>273</v>
      </c>
      <c r="G42" s="129">
        <v>2350</v>
      </c>
      <c r="H42" s="130">
        <v>12</v>
      </c>
    </row>
    <row r="43" spans="2:8" ht="18" customHeight="1" x14ac:dyDescent="0.2">
      <c r="B43" s="114" t="s">
        <v>32</v>
      </c>
      <c r="C43" s="120">
        <v>8.7899999999999991</v>
      </c>
      <c r="D43" s="121">
        <v>4.8000000000000001E-2</v>
      </c>
      <c r="E43" s="122">
        <v>8.84</v>
      </c>
      <c r="F43" s="123" t="s">
        <v>274</v>
      </c>
      <c r="G43" s="124">
        <v>2480</v>
      </c>
      <c r="H43" s="125">
        <v>12</v>
      </c>
    </row>
    <row r="44" spans="2:8" ht="18" customHeight="1" x14ac:dyDescent="0.2">
      <c r="B44" s="117" t="s">
        <v>35</v>
      </c>
      <c r="C44" s="126">
        <v>132.69</v>
      </c>
      <c r="D44" s="127">
        <v>1.389</v>
      </c>
      <c r="E44" s="128">
        <v>134.08000000000001</v>
      </c>
      <c r="F44" s="109" t="s">
        <v>271</v>
      </c>
      <c r="G44" s="129">
        <v>2480</v>
      </c>
      <c r="H44" s="130">
        <v>12</v>
      </c>
    </row>
    <row r="45" spans="2:8" ht="18" customHeight="1" x14ac:dyDescent="0.2">
      <c r="B45" s="114" t="s">
        <v>263</v>
      </c>
      <c r="C45" s="120">
        <v>14.64</v>
      </c>
      <c r="D45" s="121">
        <v>0.188</v>
      </c>
      <c r="E45" s="122">
        <v>14.83</v>
      </c>
      <c r="F45" s="123" t="s">
        <v>275</v>
      </c>
      <c r="G45" s="124">
        <v>2350</v>
      </c>
      <c r="H45" s="125">
        <v>12</v>
      </c>
    </row>
    <row r="47" spans="2:8" ht="19.5" customHeight="1" x14ac:dyDescent="0.2">
      <c r="B47" s="201" t="s">
        <v>276</v>
      </c>
      <c r="C47" s="201"/>
      <c r="D47" s="201"/>
      <c r="E47" s="201"/>
      <c r="F47" s="201"/>
      <c r="G47" s="201"/>
      <c r="H47" s="201"/>
    </row>
    <row r="48" spans="2:8" ht="27.75" customHeight="1" x14ac:dyDescent="0.2">
      <c r="B48" s="131" t="s">
        <v>256</v>
      </c>
      <c r="C48" s="131" t="s">
        <v>277</v>
      </c>
      <c r="D48" s="131" t="s">
        <v>278</v>
      </c>
      <c r="E48" s="131" t="s">
        <v>279</v>
      </c>
      <c r="F48" s="131" t="s">
        <v>280</v>
      </c>
      <c r="G48" s="131" t="s">
        <v>281</v>
      </c>
      <c r="H48" s="131" t="s">
        <v>282</v>
      </c>
    </row>
    <row r="49" spans="2:8" ht="15.75" customHeight="1" x14ac:dyDescent="0.2">
      <c r="B49" s="132" t="s">
        <v>33</v>
      </c>
      <c r="C49" s="133">
        <v>1116</v>
      </c>
      <c r="D49" s="134">
        <v>16</v>
      </c>
      <c r="E49" s="135">
        <v>17.86</v>
      </c>
      <c r="F49" s="136">
        <v>2480</v>
      </c>
      <c r="G49" s="137">
        <v>708.5</v>
      </c>
      <c r="H49" s="138">
        <v>8502</v>
      </c>
    </row>
    <row r="50" spans="2:8" ht="15.75" customHeight="1" x14ac:dyDescent="0.2">
      <c r="B50" s="117" t="s">
        <v>34</v>
      </c>
      <c r="C50" s="130">
        <v>1100</v>
      </c>
      <c r="D50" s="139">
        <v>12</v>
      </c>
      <c r="E50" s="140">
        <v>13.2</v>
      </c>
      <c r="F50" s="129">
        <v>2057</v>
      </c>
      <c r="G50" s="141">
        <v>434.4</v>
      </c>
      <c r="H50" s="142">
        <v>5213</v>
      </c>
    </row>
    <row r="51" spans="2:8" ht="15.75" customHeight="1" x14ac:dyDescent="0.2">
      <c r="B51" s="132" t="s">
        <v>31</v>
      </c>
      <c r="C51" s="133">
        <v>1064</v>
      </c>
      <c r="D51" s="134">
        <v>8</v>
      </c>
      <c r="E51" s="135">
        <v>8.51</v>
      </c>
      <c r="F51" s="136">
        <v>2350</v>
      </c>
      <c r="G51" s="137">
        <v>320.10000000000002</v>
      </c>
      <c r="H51" s="138">
        <v>3841</v>
      </c>
    </row>
    <row r="52" spans="2:8" ht="15.75" customHeight="1" x14ac:dyDescent="0.2">
      <c r="B52" s="117" t="s">
        <v>30</v>
      </c>
      <c r="C52" s="130">
        <v>1071</v>
      </c>
      <c r="D52" s="139">
        <v>1.5</v>
      </c>
      <c r="E52" s="140">
        <v>1.61</v>
      </c>
      <c r="F52" s="129">
        <v>2350</v>
      </c>
      <c r="G52" s="141">
        <v>60.4</v>
      </c>
      <c r="H52" s="142">
        <v>725</v>
      </c>
    </row>
    <row r="53" spans="2:8" ht="15.75" customHeight="1" x14ac:dyDescent="0.2">
      <c r="B53" s="132" t="s">
        <v>32</v>
      </c>
      <c r="C53" s="133">
        <v>932</v>
      </c>
      <c r="D53" s="134">
        <v>1.2</v>
      </c>
      <c r="E53" s="135">
        <v>1.1200000000000001</v>
      </c>
      <c r="F53" s="136">
        <v>2480</v>
      </c>
      <c r="G53" s="137">
        <v>44.4</v>
      </c>
      <c r="H53" s="138">
        <v>533</v>
      </c>
    </row>
    <row r="54" spans="2:8" ht="15.75" customHeight="1" x14ac:dyDescent="0.2">
      <c r="B54" s="117" t="s">
        <v>35</v>
      </c>
      <c r="C54" s="130">
        <v>301</v>
      </c>
      <c r="D54" s="139">
        <v>35</v>
      </c>
      <c r="E54" s="140">
        <v>10.54</v>
      </c>
      <c r="F54" s="129">
        <v>2480</v>
      </c>
      <c r="G54" s="141">
        <v>418</v>
      </c>
      <c r="H54" s="142">
        <v>5016</v>
      </c>
    </row>
    <row r="55" spans="2:8" ht="15.75" customHeight="1" x14ac:dyDescent="0.2">
      <c r="B55" s="132" t="s">
        <v>263</v>
      </c>
      <c r="C55" s="133">
        <v>2009</v>
      </c>
      <c r="D55" s="134">
        <v>5</v>
      </c>
      <c r="E55" s="135">
        <v>10.039999999999999</v>
      </c>
      <c r="F55" s="136">
        <v>2350</v>
      </c>
      <c r="G55" s="137">
        <v>377.7</v>
      </c>
      <c r="H55" s="138">
        <v>4532</v>
      </c>
    </row>
    <row r="56" spans="2:8" ht="19.5" customHeight="1" x14ac:dyDescent="0.2">
      <c r="B56" s="143" t="s">
        <v>283</v>
      </c>
      <c r="C56" s="144"/>
      <c r="D56" s="144"/>
      <c r="E56" s="144"/>
      <c r="F56" s="144"/>
      <c r="G56" s="144"/>
      <c r="H56" s="145">
        <v>28362</v>
      </c>
    </row>
    <row r="58" spans="2:8" ht="19.5" customHeight="1" x14ac:dyDescent="0.2">
      <c r="B58" s="235" t="s">
        <v>284</v>
      </c>
      <c r="C58" s="235"/>
      <c r="D58" s="235"/>
      <c r="E58" s="235"/>
      <c r="F58" s="235"/>
      <c r="G58" s="235"/>
      <c r="H58" s="235"/>
    </row>
    <row r="59" spans="2:8" ht="27.75" customHeight="1" x14ac:dyDescent="0.2">
      <c r="B59" s="113" t="s">
        <v>256</v>
      </c>
      <c r="C59" s="113" t="s">
        <v>285</v>
      </c>
      <c r="D59" s="113" t="s">
        <v>286</v>
      </c>
      <c r="E59" s="113" t="s">
        <v>287</v>
      </c>
      <c r="F59" s="113" t="s">
        <v>288</v>
      </c>
      <c r="G59" s="113" t="s">
        <v>289</v>
      </c>
      <c r="H59" s="113" t="s">
        <v>290</v>
      </c>
    </row>
    <row r="60" spans="2:8" ht="18" customHeight="1" x14ac:dyDescent="0.2">
      <c r="B60" s="146" t="s">
        <v>33</v>
      </c>
      <c r="C60" s="147">
        <v>84.8</v>
      </c>
      <c r="D60" s="148">
        <v>2.1800000000000002</v>
      </c>
      <c r="E60" s="149">
        <v>82.7</v>
      </c>
      <c r="F60" s="150">
        <v>0.97399999999999998</v>
      </c>
      <c r="G60" s="151">
        <v>394</v>
      </c>
      <c r="H60" s="152" t="s">
        <v>291</v>
      </c>
    </row>
    <row r="61" spans="2:8" ht="18" customHeight="1" x14ac:dyDescent="0.2">
      <c r="B61" s="117" t="s">
        <v>34</v>
      </c>
      <c r="C61" s="153">
        <v>29</v>
      </c>
      <c r="D61" s="154">
        <v>2.1800000000000002</v>
      </c>
      <c r="E61" s="155">
        <v>26.8</v>
      </c>
      <c r="F61" s="156">
        <v>0.92500000000000004</v>
      </c>
      <c r="G61" s="129">
        <v>128</v>
      </c>
      <c r="H61" s="157" t="s">
        <v>291</v>
      </c>
    </row>
    <row r="62" spans="2:8" ht="18" customHeight="1" x14ac:dyDescent="0.2">
      <c r="B62" s="146" t="s">
        <v>31</v>
      </c>
      <c r="C62" s="147">
        <v>21.5</v>
      </c>
      <c r="D62" s="148">
        <v>2.1800000000000002</v>
      </c>
      <c r="E62" s="149">
        <v>19.3</v>
      </c>
      <c r="F62" s="150">
        <v>0.89900000000000002</v>
      </c>
      <c r="G62" s="151">
        <v>92</v>
      </c>
      <c r="H62" s="152" t="s">
        <v>292</v>
      </c>
    </row>
    <row r="63" spans="2:8" ht="18" customHeight="1" x14ac:dyDescent="0.2">
      <c r="B63" s="117" t="s">
        <v>30</v>
      </c>
      <c r="C63" s="153">
        <v>4.4000000000000004</v>
      </c>
      <c r="D63" s="154">
        <v>2.1800000000000002</v>
      </c>
      <c r="E63" s="155">
        <v>2.2000000000000002</v>
      </c>
      <c r="F63" s="156">
        <v>0.504</v>
      </c>
      <c r="G63" s="129">
        <v>11</v>
      </c>
      <c r="H63" s="157" t="s">
        <v>293</v>
      </c>
    </row>
    <row r="64" spans="2:8" ht="18" customHeight="1" x14ac:dyDescent="0.2">
      <c r="B64" s="146" t="s">
        <v>32</v>
      </c>
      <c r="C64" s="147">
        <v>8.8000000000000007</v>
      </c>
      <c r="D64" s="148">
        <v>2.1800000000000002</v>
      </c>
      <c r="E64" s="149">
        <v>6.7</v>
      </c>
      <c r="F64" s="150">
        <v>0.754</v>
      </c>
      <c r="G64" s="151">
        <v>32</v>
      </c>
      <c r="H64" s="152" t="s">
        <v>293</v>
      </c>
    </row>
    <row r="65" spans="2:8" ht="18" customHeight="1" x14ac:dyDescent="0.2">
      <c r="B65" s="117" t="s">
        <v>35</v>
      </c>
      <c r="C65" s="153">
        <v>134.1</v>
      </c>
      <c r="D65" s="154">
        <v>2.1800000000000002</v>
      </c>
      <c r="E65" s="155">
        <v>131.9</v>
      </c>
      <c r="F65" s="156">
        <v>0.98399999999999999</v>
      </c>
      <c r="G65" s="129">
        <v>628</v>
      </c>
      <c r="H65" s="157" t="s">
        <v>291</v>
      </c>
    </row>
    <row r="66" spans="2:8" ht="18" customHeight="1" x14ac:dyDescent="0.2">
      <c r="B66" s="146" t="s">
        <v>263</v>
      </c>
      <c r="C66" s="147">
        <v>14.8</v>
      </c>
      <c r="D66" s="148">
        <v>2.1800000000000002</v>
      </c>
      <c r="E66" s="149">
        <v>12.7</v>
      </c>
      <c r="F66" s="150">
        <v>0.85299999999999998</v>
      </c>
      <c r="G66" s="151">
        <v>60</v>
      </c>
      <c r="H66" s="152" t="s">
        <v>293</v>
      </c>
    </row>
    <row r="67" spans="2:8" ht="13.5" customHeight="1" x14ac:dyDescent="0.2">
      <c r="B67" s="241" t="s">
        <v>294</v>
      </c>
      <c r="C67" s="241"/>
      <c r="D67" s="241"/>
      <c r="E67" s="241"/>
      <c r="F67" s="241"/>
      <c r="G67" s="241"/>
      <c r="H67" s="241"/>
    </row>
    <row r="69" spans="2:8" ht="19.5" customHeight="1" x14ac:dyDescent="0.2">
      <c r="B69" s="201" t="s">
        <v>295</v>
      </c>
      <c r="C69" s="201"/>
      <c r="D69" s="201"/>
      <c r="E69" s="201"/>
      <c r="F69" s="201"/>
      <c r="G69" s="201"/>
      <c r="H69" s="201"/>
    </row>
    <row r="70" spans="2:8" ht="27.75" customHeight="1" x14ac:dyDescent="0.2">
      <c r="B70" s="131" t="s">
        <v>256</v>
      </c>
      <c r="C70" s="131" t="s">
        <v>296</v>
      </c>
      <c r="D70" s="131" t="s">
        <v>297</v>
      </c>
      <c r="E70" s="131" t="s">
        <v>298</v>
      </c>
      <c r="F70" s="131" t="s">
        <v>299</v>
      </c>
      <c r="G70" s="131" t="s">
        <v>300</v>
      </c>
      <c r="H70" s="131" t="s">
        <v>301</v>
      </c>
    </row>
    <row r="71" spans="2:8" ht="15.75" customHeight="1" x14ac:dyDescent="0.2">
      <c r="B71" s="146" t="s">
        <v>33</v>
      </c>
      <c r="C71" s="158">
        <v>1116</v>
      </c>
      <c r="D71" s="159">
        <v>9225</v>
      </c>
      <c r="E71" s="159">
        <v>18450</v>
      </c>
      <c r="F71" s="159">
        <v>27675</v>
      </c>
      <c r="G71" s="159">
        <v>36900</v>
      </c>
      <c r="H71" s="160">
        <v>36.9</v>
      </c>
    </row>
    <row r="72" spans="2:8" ht="15.75" customHeight="1" x14ac:dyDescent="0.2">
      <c r="B72" s="117" t="s">
        <v>34</v>
      </c>
      <c r="C72" s="130">
        <v>1100</v>
      </c>
      <c r="D72" s="161">
        <v>2946</v>
      </c>
      <c r="E72" s="161">
        <v>5891</v>
      </c>
      <c r="F72" s="161">
        <v>8837</v>
      </c>
      <c r="G72" s="161">
        <v>11782</v>
      </c>
      <c r="H72" s="162">
        <v>11.78</v>
      </c>
    </row>
    <row r="73" spans="2:8" ht="15.75" customHeight="1" x14ac:dyDescent="0.2">
      <c r="B73" s="146" t="s">
        <v>31</v>
      </c>
      <c r="C73" s="158">
        <v>1064</v>
      </c>
      <c r="D73" s="159">
        <v>2058</v>
      </c>
      <c r="E73" s="159">
        <v>4115</v>
      </c>
      <c r="F73" s="159">
        <v>6173</v>
      </c>
      <c r="G73" s="159">
        <v>8230</v>
      </c>
      <c r="H73" s="160">
        <v>8.23</v>
      </c>
    </row>
    <row r="74" spans="2:8" ht="15.75" customHeight="1" x14ac:dyDescent="0.2">
      <c r="B74" s="117" t="s">
        <v>30</v>
      </c>
      <c r="C74" s="130">
        <v>1071</v>
      </c>
      <c r="D74" s="161">
        <v>237</v>
      </c>
      <c r="E74" s="161">
        <v>474</v>
      </c>
      <c r="F74" s="161">
        <v>712</v>
      </c>
      <c r="G74" s="161">
        <v>949</v>
      </c>
      <c r="H74" s="162">
        <v>0.95</v>
      </c>
    </row>
    <row r="75" spans="2:8" ht="15.75" customHeight="1" x14ac:dyDescent="0.2">
      <c r="B75" s="146" t="s">
        <v>32</v>
      </c>
      <c r="C75" s="158">
        <v>932</v>
      </c>
      <c r="D75" s="159">
        <v>621</v>
      </c>
      <c r="E75" s="159">
        <v>1242</v>
      </c>
      <c r="F75" s="159">
        <v>1863</v>
      </c>
      <c r="G75" s="159">
        <v>2484</v>
      </c>
      <c r="H75" s="160">
        <v>2.48</v>
      </c>
    </row>
    <row r="76" spans="2:8" ht="15.75" customHeight="1" x14ac:dyDescent="0.2">
      <c r="B76" s="117" t="s">
        <v>35</v>
      </c>
      <c r="C76" s="130">
        <v>301</v>
      </c>
      <c r="D76" s="161">
        <v>3970</v>
      </c>
      <c r="E76" s="161">
        <v>7940</v>
      </c>
      <c r="F76" s="161">
        <v>11911</v>
      </c>
      <c r="G76" s="161">
        <v>15881</v>
      </c>
      <c r="H76" s="162">
        <v>15.88</v>
      </c>
    </row>
    <row r="77" spans="2:8" ht="15.75" customHeight="1" x14ac:dyDescent="0.2">
      <c r="B77" s="146" t="s">
        <v>263</v>
      </c>
      <c r="C77" s="158">
        <v>2009</v>
      </c>
      <c r="D77" s="159">
        <v>2542</v>
      </c>
      <c r="E77" s="159">
        <v>5085</v>
      </c>
      <c r="F77" s="159">
        <v>7627</v>
      </c>
      <c r="G77" s="159">
        <v>10170</v>
      </c>
      <c r="H77" s="160">
        <v>10.17</v>
      </c>
    </row>
    <row r="78" spans="2:8" ht="19.5" customHeight="1" x14ac:dyDescent="0.2">
      <c r="B78" s="143" t="s">
        <v>302</v>
      </c>
      <c r="C78" s="163"/>
      <c r="D78" s="164">
        <v>21599</v>
      </c>
      <c r="E78" s="164">
        <v>43197</v>
      </c>
      <c r="F78" s="164">
        <v>64798</v>
      </c>
      <c r="G78" s="164">
        <v>86396</v>
      </c>
      <c r="H78" s="165">
        <v>86.4</v>
      </c>
    </row>
    <row r="79" spans="2:8" ht="18" customHeight="1" x14ac:dyDescent="0.2">
      <c r="B79" s="166" t="s">
        <v>303</v>
      </c>
      <c r="C79" s="167"/>
      <c r="D79" s="168">
        <v>2836</v>
      </c>
      <c r="E79" s="168">
        <v>5672</v>
      </c>
      <c r="F79" s="168">
        <v>8509</v>
      </c>
      <c r="G79" s="168">
        <v>11345</v>
      </c>
      <c r="H79" s="169">
        <v>11.34</v>
      </c>
    </row>
    <row r="81" spans="2:8" ht="19.5" customHeight="1" x14ac:dyDescent="0.2">
      <c r="B81" s="235" t="s">
        <v>304</v>
      </c>
      <c r="C81" s="235"/>
      <c r="D81" s="235"/>
      <c r="E81" s="235"/>
      <c r="F81" s="235"/>
      <c r="G81" s="235"/>
      <c r="H81" s="235"/>
    </row>
    <row r="82" spans="2:8" ht="27.75" customHeight="1" x14ac:dyDescent="0.2">
      <c r="B82" s="113" t="s">
        <v>305</v>
      </c>
      <c r="C82" s="113" t="s">
        <v>306</v>
      </c>
      <c r="D82" s="113" t="s">
        <v>307</v>
      </c>
      <c r="E82" s="113" t="s">
        <v>308</v>
      </c>
      <c r="F82" s="113" t="s">
        <v>309</v>
      </c>
      <c r="G82" s="113" t="s">
        <v>310</v>
      </c>
      <c r="H82" s="113" t="s">
        <v>311</v>
      </c>
    </row>
    <row r="83" spans="2:8" ht="19.5" customHeight="1" x14ac:dyDescent="0.2">
      <c r="B83" s="132" t="s">
        <v>312</v>
      </c>
      <c r="C83" s="170">
        <v>24435</v>
      </c>
      <c r="D83" s="170">
        <v>244350</v>
      </c>
      <c r="E83" s="171">
        <v>244.3</v>
      </c>
      <c r="F83" s="172">
        <v>11636</v>
      </c>
      <c r="G83" s="133">
        <v>10</v>
      </c>
      <c r="H83" s="173" t="s">
        <v>313</v>
      </c>
    </row>
    <row r="84" spans="2:8" ht="19.5" customHeight="1" x14ac:dyDescent="0.2">
      <c r="B84" s="174" t="s">
        <v>314</v>
      </c>
      <c r="C84" s="175">
        <v>48869</v>
      </c>
      <c r="D84" s="175">
        <v>488690</v>
      </c>
      <c r="E84" s="176">
        <v>488.7</v>
      </c>
      <c r="F84" s="177">
        <v>23271</v>
      </c>
      <c r="G84" s="178">
        <v>20</v>
      </c>
      <c r="H84" s="179" t="s">
        <v>313</v>
      </c>
    </row>
    <row r="85" spans="2:8" ht="19.5" customHeight="1" x14ac:dyDescent="0.2">
      <c r="B85" s="180" t="s">
        <v>315</v>
      </c>
      <c r="C85" s="181">
        <v>73307</v>
      </c>
      <c r="D85" s="181">
        <v>733070</v>
      </c>
      <c r="E85" s="182">
        <v>733.1</v>
      </c>
      <c r="F85" s="183">
        <v>34908</v>
      </c>
      <c r="G85" s="184">
        <v>31</v>
      </c>
      <c r="H85" s="185" t="s">
        <v>313</v>
      </c>
    </row>
    <row r="86" spans="2:8" ht="19.5" customHeight="1" x14ac:dyDescent="0.2">
      <c r="B86" s="186" t="s">
        <v>316</v>
      </c>
      <c r="C86" s="187">
        <v>97741</v>
      </c>
      <c r="D86" s="187">
        <v>977410</v>
      </c>
      <c r="E86" s="188">
        <v>977.4</v>
      </c>
      <c r="F86" s="189">
        <v>46543</v>
      </c>
      <c r="G86" s="190">
        <v>41</v>
      </c>
      <c r="H86" s="191" t="s">
        <v>313</v>
      </c>
    </row>
    <row r="87" spans="2:8" ht="13.5" customHeight="1" x14ac:dyDescent="0.2">
      <c r="B87" s="241" t="s">
        <v>317</v>
      </c>
      <c r="C87" s="241"/>
      <c r="D87" s="241"/>
      <c r="E87" s="241"/>
      <c r="F87" s="241"/>
      <c r="G87" s="241"/>
      <c r="H87" s="241"/>
    </row>
    <row r="89" spans="2:8" ht="19.5" customHeight="1" x14ac:dyDescent="0.2">
      <c r="B89" s="201" t="s">
        <v>318</v>
      </c>
      <c r="C89" s="201"/>
      <c r="D89" s="201"/>
      <c r="E89" s="201"/>
      <c r="F89" s="201"/>
      <c r="G89" s="201"/>
      <c r="H89" s="201"/>
    </row>
    <row r="90" spans="2:8" ht="18" customHeight="1" x14ac:dyDescent="0.2">
      <c r="B90" s="3" t="s">
        <v>319</v>
      </c>
      <c r="C90" s="3" t="s">
        <v>320</v>
      </c>
      <c r="D90" s="3" t="s">
        <v>321</v>
      </c>
      <c r="E90" s="3" t="s">
        <v>322</v>
      </c>
      <c r="F90" s="3" t="s">
        <v>323</v>
      </c>
      <c r="G90" s="3" t="s">
        <v>324</v>
      </c>
      <c r="H90" s="3" t="s">
        <v>325</v>
      </c>
    </row>
    <row r="91" spans="2:8" ht="18" customHeight="1" x14ac:dyDescent="0.2">
      <c r="B91" s="192" t="s">
        <v>326</v>
      </c>
      <c r="C91" s="111" t="s">
        <v>327</v>
      </c>
      <c r="D91" s="111" t="s">
        <v>328</v>
      </c>
      <c r="E91" s="193" t="s">
        <v>329</v>
      </c>
      <c r="F91" s="239" t="s">
        <v>330</v>
      </c>
      <c r="G91" s="239"/>
      <c r="H91" s="194" t="s">
        <v>331</v>
      </c>
    </row>
    <row r="92" spans="2:8" ht="18" customHeight="1" x14ac:dyDescent="0.2">
      <c r="B92" s="195" t="s">
        <v>332</v>
      </c>
      <c r="C92" s="108" t="s">
        <v>327</v>
      </c>
      <c r="D92" s="108" t="s">
        <v>328</v>
      </c>
      <c r="E92" s="196" t="s">
        <v>329</v>
      </c>
      <c r="F92" s="238" t="s">
        <v>333</v>
      </c>
      <c r="G92" s="238"/>
      <c r="H92" s="194" t="s">
        <v>331</v>
      </c>
    </row>
    <row r="93" spans="2:8" ht="18" customHeight="1" x14ac:dyDescent="0.2">
      <c r="B93" s="192" t="s">
        <v>334</v>
      </c>
      <c r="C93" s="111" t="s">
        <v>327</v>
      </c>
      <c r="D93" s="111" t="s">
        <v>328</v>
      </c>
      <c r="E93" s="193" t="s">
        <v>335</v>
      </c>
      <c r="F93" s="239" t="s">
        <v>336</v>
      </c>
      <c r="G93" s="239"/>
      <c r="H93" s="194" t="s">
        <v>331</v>
      </c>
    </row>
    <row r="94" spans="2:8" ht="18" customHeight="1" x14ac:dyDescent="0.2">
      <c r="B94" s="195" t="s">
        <v>337</v>
      </c>
      <c r="C94" s="108" t="s">
        <v>338</v>
      </c>
      <c r="D94" s="108" t="s">
        <v>339</v>
      </c>
      <c r="E94" s="196" t="s">
        <v>340</v>
      </c>
      <c r="F94" s="238" t="s">
        <v>341</v>
      </c>
      <c r="G94" s="238"/>
      <c r="H94" s="197" t="s">
        <v>342</v>
      </c>
    </row>
    <row r="95" spans="2:8" ht="18" customHeight="1" x14ac:dyDescent="0.2">
      <c r="B95" s="192" t="s">
        <v>343</v>
      </c>
      <c r="C95" s="111" t="s">
        <v>338</v>
      </c>
      <c r="D95" s="111" t="s">
        <v>339</v>
      </c>
      <c r="E95" s="193" t="s">
        <v>344</v>
      </c>
      <c r="F95" s="239" t="s">
        <v>345</v>
      </c>
      <c r="G95" s="239"/>
      <c r="H95" s="197" t="s">
        <v>342</v>
      </c>
    </row>
    <row r="96" spans="2:8" ht="18" customHeight="1" x14ac:dyDescent="0.2">
      <c r="B96" s="195" t="s">
        <v>346</v>
      </c>
      <c r="C96" s="108" t="s">
        <v>347</v>
      </c>
      <c r="D96" s="108" t="s">
        <v>328</v>
      </c>
      <c r="E96" s="196" t="s">
        <v>348</v>
      </c>
      <c r="F96" s="238" t="s">
        <v>349</v>
      </c>
      <c r="G96" s="238"/>
      <c r="H96" s="55" t="s">
        <v>350</v>
      </c>
    </row>
    <row r="97" spans="2:8" ht="18" customHeight="1" x14ac:dyDescent="0.2">
      <c r="B97" s="192" t="s">
        <v>351</v>
      </c>
      <c r="C97" s="111" t="s">
        <v>347</v>
      </c>
      <c r="D97" s="111" t="s">
        <v>328</v>
      </c>
      <c r="E97" s="193" t="s">
        <v>352</v>
      </c>
      <c r="F97" s="239" t="s">
        <v>353</v>
      </c>
      <c r="G97" s="239"/>
      <c r="H97" s="60" t="s">
        <v>354</v>
      </c>
    </row>
    <row r="98" spans="2:8" ht="18" customHeight="1" x14ac:dyDescent="0.2">
      <c r="B98" s="195" t="s">
        <v>355</v>
      </c>
      <c r="C98" s="108" t="s">
        <v>347</v>
      </c>
      <c r="D98" s="108" t="s">
        <v>328</v>
      </c>
      <c r="E98" s="196" t="s">
        <v>356</v>
      </c>
      <c r="F98" s="238" t="s">
        <v>357</v>
      </c>
      <c r="G98" s="238"/>
      <c r="H98" s="60" t="s">
        <v>354</v>
      </c>
    </row>
    <row r="99" spans="2:8" ht="18" customHeight="1" x14ac:dyDescent="0.2">
      <c r="B99" s="192" t="s">
        <v>358</v>
      </c>
      <c r="C99" s="111" t="s">
        <v>347</v>
      </c>
      <c r="D99" s="111" t="s">
        <v>328</v>
      </c>
      <c r="E99" s="193" t="s">
        <v>359</v>
      </c>
      <c r="F99" s="239" t="s">
        <v>360</v>
      </c>
      <c r="G99" s="239"/>
      <c r="H99" s="60" t="s">
        <v>354</v>
      </c>
    </row>
    <row r="100" spans="2:8" ht="18" customHeight="1" x14ac:dyDescent="0.2">
      <c r="B100" s="195" t="s">
        <v>361</v>
      </c>
      <c r="C100" s="108" t="s">
        <v>347</v>
      </c>
      <c r="D100" s="108" t="s">
        <v>328</v>
      </c>
      <c r="E100" s="196" t="s">
        <v>359</v>
      </c>
      <c r="F100" s="238" t="s">
        <v>362</v>
      </c>
      <c r="G100" s="238"/>
      <c r="H100" s="60" t="s">
        <v>354</v>
      </c>
    </row>
  </sheetData>
  <mergeCells count="42">
    <mergeCell ref="F99:G99"/>
    <mergeCell ref="F100:G100"/>
    <mergeCell ref="F94:G94"/>
    <mergeCell ref="F95:G95"/>
    <mergeCell ref="F96:G96"/>
    <mergeCell ref="F97:G97"/>
    <mergeCell ref="F98:G98"/>
    <mergeCell ref="B87:H87"/>
    <mergeCell ref="B89:H89"/>
    <mergeCell ref="F91:G91"/>
    <mergeCell ref="F92:G92"/>
    <mergeCell ref="F93:G93"/>
    <mergeCell ref="B47:H47"/>
    <mergeCell ref="B58:H58"/>
    <mergeCell ref="B67:H67"/>
    <mergeCell ref="B69:H69"/>
    <mergeCell ref="B81:H81"/>
    <mergeCell ref="F23:H23"/>
    <mergeCell ref="F24:H24"/>
    <mergeCell ref="F25:H25"/>
    <mergeCell ref="B27:H27"/>
    <mergeCell ref="B37:H37"/>
    <mergeCell ref="F18:H18"/>
    <mergeCell ref="F19:H19"/>
    <mergeCell ref="B20:H20"/>
    <mergeCell ref="F21:H21"/>
    <mergeCell ref="B22:H22"/>
    <mergeCell ref="B13:H13"/>
    <mergeCell ref="F14:H14"/>
    <mergeCell ref="B15:H15"/>
    <mergeCell ref="F16:H16"/>
    <mergeCell ref="F17:H17"/>
    <mergeCell ref="F8:H8"/>
    <mergeCell ref="F9:H9"/>
    <mergeCell ref="F10:H10"/>
    <mergeCell ref="F11:H11"/>
    <mergeCell ref="F12:H12"/>
    <mergeCell ref="B2:H2"/>
    <mergeCell ref="B3:H3"/>
    <mergeCell ref="B5:H5"/>
    <mergeCell ref="F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2025 Medical Aid Costs</vt:lpstr>
      <vt:lpstr>SKBBK Medical Aid Costs</vt:lpstr>
      <vt:lpstr>Manpower Costs</vt:lpstr>
      <vt:lpstr>Implementation Costs</vt:lpstr>
      <vt:lpstr>10-Year Projection</vt:lpstr>
      <vt:lpstr>ESG Carbon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Syarifah Nur Amira Binti. Syed Zahari</cp:lastModifiedBy>
  <cp:revision>0</cp:revision>
  <dcterms:created xsi:type="dcterms:W3CDTF">2026-03-16T02:13:58Z</dcterms:created>
  <dcterms:modified xsi:type="dcterms:W3CDTF">2026-03-17T02:24:54Z</dcterms:modified>
  <dc:language>en-US</dc:language>
</cp:coreProperties>
</file>